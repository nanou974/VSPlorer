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éhicules" sheetId="1" state="visible" r:id="rId3"/>
    <sheet name="Légende" sheetId="2" state="visible" r:id="rId4"/>
  </sheets>
  <definedNames>
    <definedName function="false" hidden="true" localSheetId="0" name="_xlnm._FilterDatabase" vbProcedure="false">Véhicules!$A$1:$W$40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Calculée : moyenne de Conso min et Conso max. C'est la valeur que l'app utilisera.</t>
        </r>
      </text>
    </comment>
    <comment ref="P1" authorId="0">
      <text>
        <r>
          <rPr>
            <sz val="10"/>
            <rFont val="Arial"/>
            <family val="2"/>
          </rPr>
          <t xml:space="preserve">Calculée : réservoir (diesel) ou batterie (électrique) ÷ conso retenue × 100. Sert à contrôler la cohérence avec l'autonomie annoncée.</t>
        </r>
      </text>
    </comment>
  </commentList>
</comments>
</file>

<file path=xl/sharedStrings.xml><?xml version="1.0" encoding="utf-8"?>
<sst xmlns="http://schemas.openxmlformats.org/spreadsheetml/2006/main" count="455" uniqueCount="200">
  <si>
    <t xml:space="preserve">Marque</t>
  </si>
  <si>
    <t xml:space="preserve">Modèle</t>
  </si>
  <si>
    <t xml:space="preserve">Version / années</t>
  </si>
  <si>
    <t xml:space="preserve">Motorisation</t>
  </si>
  <si>
    <t xml:space="preserve">Énergie</t>
  </si>
  <si>
    <t xml:space="preserve">Cylindrée (cm³)</t>
  </si>
  <si>
    <t xml:space="preserve">Puissance (kW)</t>
  </si>
  <si>
    <t xml:space="preserve">Masse à vide (kg)</t>
  </si>
  <si>
    <t xml:space="preserve">Réservoir (L)</t>
  </si>
  <si>
    <t xml:space="preserve">Batterie (kWh)</t>
  </si>
  <si>
    <t xml:space="preserve">Conso min</t>
  </si>
  <si>
    <t xml:space="preserve">Conso max</t>
  </si>
  <si>
    <t xml:space="preserve">Unité conso</t>
  </si>
  <si>
    <t xml:space="preserve">Conso retenue</t>
  </si>
  <si>
    <t xml:space="preserve">Autonomie annoncée (km)</t>
  </si>
  <si>
    <t xml:space="preserve">Autonomie calculée (km)</t>
  </si>
  <si>
    <t xml:space="preserve">Cycle de mesure</t>
  </si>
  <si>
    <t xml:space="preserve">Recharge : prise</t>
  </si>
  <si>
    <t xml:space="preserve">Puissance de charge (kW)</t>
  </si>
  <si>
    <t xml:space="preserve">Temps de charge 0-100 %</t>
  </si>
  <si>
    <t xml:space="preserve">Statut</t>
  </si>
  <si>
    <t xml:space="preserve">Source</t>
  </si>
  <si>
    <t xml:space="preserve">Notes</t>
  </si>
  <si>
    <t xml:space="preserve">Ligier</t>
  </si>
  <si>
    <t xml:space="preserve">JS50</t>
  </si>
  <si>
    <t xml:space="preserve">Phase 1, 2012–2017</t>
  </si>
  <si>
    <t xml:space="preserve">Lombardini Progress 0.5 (5 ch)</t>
  </si>
  <si>
    <t xml:space="preserve">Diesel</t>
  </si>
  <si>
    <t xml:space="preserve">L/100 km</t>
  </si>
  <si>
    <t xml:space="preserve">mixte</t>
  </si>
  <si>
    <t xml:space="preserve">Vérifié</t>
  </si>
  <si>
    <t xml:space="preserve">https://www.automoli.com/fr/vehicles/ligier/js50/js50-i-long-10622/</t>
  </si>
  <si>
    <t xml:space="preserve">Lombardini DCI 0.5 (5 ch)</t>
  </si>
  <si>
    <t xml:space="preserve">Phase 2, 2017–2019</t>
  </si>
  <si>
    <t xml:space="preserve">https://www.automoli.com/fr/vehicles/ligier/js50/js50-i-facelift-2017-10620/</t>
  </si>
  <si>
    <t xml:space="preserve">Phase 2, 2019–2024</t>
  </si>
  <si>
    <t xml:space="preserve">Lombardini Progress 0.5 (8 ch)</t>
  </si>
  <si>
    <t xml:space="preserve">Lombardini DCI 0.5 (8 ch)</t>
  </si>
  <si>
    <t xml:space="preserve">Myli</t>
  </si>
  <si>
    <t xml:space="preserve">2023–</t>
  </si>
  <si>
    <t xml:space="preserve">Électrique, 1 batterie 4,14 kWh</t>
  </si>
  <si>
    <t xml:space="preserve">Électrique</t>
  </si>
  <si>
    <t xml:space="preserve">kWh/100 km</t>
  </si>
  <si>
    <t xml:space="preserve">WMTC</t>
  </si>
  <si>
    <t xml:space="preserve">Prise domestique 230 V, câble fourni</t>
  </si>
  <si>
    <t xml:space="preserve">≈ 2h30</t>
  </si>
  <si>
    <t xml:space="preserve">https://www.ligier.fr/wp-content/uploads/2023/03/FICHE-EQUIPEMENT-TECHNIQUE-MYLI.pdf</t>
  </si>
  <si>
    <t xml:space="preserve">Puissance moteur : automobile-propre. Conso non publiée.</t>
  </si>
  <si>
    <t xml:space="preserve">Électrique, 2 batteries 8,28 kWh</t>
  </si>
  <si>
    <t xml:space="preserve">≈ 4h15</t>
  </si>
  <si>
    <t xml:space="preserve">Conso non publiée.</t>
  </si>
  <si>
    <t xml:space="preserve">Électrique, 3 batteries 12,42 kWh</t>
  </si>
  <si>
    <t xml:space="preserve">≈ 6h15</t>
  </si>
  <si>
    <t xml:space="preserve">automobile-propre indique aussi une prise Type 2 et 460 kg.</t>
  </si>
  <si>
    <t xml:space="preserve">Aixam</t>
  </si>
  <si>
    <t xml:space="preserve">Coupé (Sensation)</t>
  </si>
  <si>
    <t xml:space="preserve">2016–2020</t>
  </si>
  <si>
    <t xml:space="preserve">Kubota Z482 0.5 (8 ch)</t>
  </si>
  <si>
    <t xml:space="preserve">https://www.auto-data.net/fr/aixam-sansation-coupe-0.5d-8hp-automatic-35914</t>
  </si>
  <si>
    <t xml:space="preserve">Puissance ≈ 5,9 kW par conversion, non publiée.</t>
  </si>
  <si>
    <t xml:space="preserve">e-City</t>
  </si>
  <si>
    <t xml:space="preserve">2013–</t>
  </si>
  <si>
    <t xml:space="preserve">Électrique 4 kW (Li-ion)</t>
  </si>
  <si>
    <t xml:space="preserve">Prise domestique 220 V / 10 A</t>
  </si>
  <si>
    <t xml:space="preserve">≈ 3h30</t>
  </si>
  <si>
    <t xml:space="preserve">À vérifier</t>
  </si>
  <si>
    <t xml:space="preserve">https://www.largus.fr/actualite-automobile/aixam-se-lance-dans-l-electrique-2446385.html</t>
  </si>
  <si>
    <t xml:space="preserve">Article de lancement 2013, capacité batterie non publiée. Batterie en location à l'époque.</t>
  </si>
  <si>
    <t xml:space="preserve">Citroën</t>
  </si>
  <si>
    <t xml:space="preserve">Ami</t>
  </si>
  <si>
    <t xml:space="preserve">2020–2024</t>
  </si>
  <si>
    <t xml:space="preserve">Électrique 5,5 kWh</t>
  </si>
  <si>
    <t xml:space="preserve">Câble intégré, prise domestique (à vérifier)</t>
  </si>
  <si>
    <t xml:space="preserve">≈ 3h</t>
  </si>
  <si>
    <t xml:space="preserve">https://autotijd.be/fr/fiches-techniques/citroen/ami/55-kwh-8-hp-3575</t>
  </si>
  <si>
    <t xml:space="preserve">Autonomie 75 km : valeur constructeur non lue sur cette source.</t>
  </si>
  <si>
    <t xml:space="preserve">Nouvelle version (2025–)</t>
  </si>
  <si>
    <t xml:space="preserve">Électrique 5,4 kWh utiles (7 kWh brut)</t>
  </si>
  <si>
    <t xml:space="preserve">WLTP</t>
  </si>
  <si>
    <t xml:space="preserve">≈ 4h</t>
  </si>
  <si>
    <t xml:space="preserve">https://autotijd.be/fr/fiches-techniques/citroen/ami/54-kwh-8-hp-4421</t>
  </si>
  <si>
    <t xml:space="preserve">Prise non indiquée par la source.</t>
  </si>
  <si>
    <t xml:space="preserve">Fiat</t>
  </si>
  <si>
    <t xml:space="preserve">Topolino</t>
  </si>
  <si>
    <t xml:space="preserve">2024–</t>
  </si>
  <si>
    <t xml:space="preserve">https://autotijd.be/fr/fiches-techniques/fiat/topolino/54-kwh-8-hp-4423</t>
  </si>
  <si>
    <t xml:space="preserve">Plateforme commune avec l'Ami.</t>
  </si>
  <si>
    <t xml:space="preserve">Mobilize</t>
  </si>
  <si>
    <t xml:space="preserve">Duo 45</t>
  </si>
  <si>
    <t xml:space="preserve">Électrique 10,3 kWh</t>
  </si>
  <si>
    <t xml:space="preserve">Type 2</t>
  </si>
  <si>
    <t xml:space="preserve">https://www.automobile-propre.com/voitures/mobilize-duo/fiche-technique</t>
  </si>
  <si>
    <t xml:space="preserve">Version 45 km/h supposée (la source ne nomme pas la version). Une version 80 km/h existe : non VSP.</t>
  </si>
  <si>
    <t xml:space="preserve">Chatenet</t>
  </si>
  <si>
    <t xml:space="preserve">CH46</t>
  </si>
  <si>
    <t xml:space="preserve">2021–</t>
  </si>
  <si>
    <t xml:space="preserve">Lombardini Kohler HDI 0.48 (6 ch)</t>
  </si>
  <si>
    <t xml:space="preserve">avis utilisateur</t>
  </si>
  <si>
    <t xml:space="preserve">https://www.autocentrum.pl/chatenet/ch46/silnik-diesla-0.48-lombardini-kohler-hdi-6km-od-2021/</t>
  </si>
  <si>
    <t xml:space="preserve">Conso tirée d'un seul avis utilisateur, pas d'une homologation.</t>
  </si>
  <si>
    <t xml:space="preserve">Microcar</t>
  </si>
  <si>
    <t xml:space="preserve">M.Go 6 X</t>
  </si>
  <si>
    <t xml:space="preserve">2020–</t>
  </si>
  <si>
    <t xml:space="preserve">DCI 0.48 (8 ch)</t>
  </si>
  <si>
    <t xml:space="preserve">https://www.auto-swiat.pl/katalog-samochodow/microcar-mgo-iv-mgo-6-x-dci-cvt-diesel-8-km-6-kw/vng0wmq</t>
  </si>
  <si>
    <t xml:space="preserve">Années incohérentes sur la source (2020 ou 2022). | Valeurs proposées par Gemini (v2 de Gianny), à vérifier lien par lien.</t>
  </si>
  <si>
    <t xml:space="preserve">X-Too 1</t>
  </si>
  <si>
    <t xml:space="preserve">2004–2006</t>
  </si>
  <si>
    <t xml:space="preserve">Lombardini Progress</t>
  </si>
  <si>
    <t xml:space="preserve">https://nessycar.fr/s-1/index/marques-ligier</t>
  </si>
  <si>
    <t xml:space="preserve">Modèle complété à l'aide des fiches techniques historiques. | Valeurs proposées par Gemini (v2 de Gianny), à vérifier lien par lien (la source citée ne donne pas de fiche technique).</t>
  </si>
  <si>
    <t xml:space="preserve">X-Too 2</t>
  </si>
  <si>
    <t xml:space="preserve">2006–2008</t>
  </si>
  <si>
    <t xml:space="preserve">Modèle complété. | Valeurs proposées par Gemini (v2 de Gianny), à vérifier lien par lien (la source citée ne donne pas de fiche technique).</t>
  </si>
  <si>
    <t xml:space="preserve">X-Too Max</t>
  </si>
  <si>
    <t xml:space="preserve">X-Too R</t>
  </si>
  <si>
    <t xml:space="preserve">2008–2010</t>
  </si>
  <si>
    <t xml:space="preserve">X-Too R DCI</t>
  </si>
  <si>
    <t xml:space="preserve">Lombardini DCI EcoTech</t>
  </si>
  <si>
    <t xml:space="preserve">X-Too RS</t>
  </si>
  <si>
    <t xml:space="preserve">X-Too RS DCI</t>
  </si>
  <si>
    <t xml:space="preserve">Lombardini DCI</t>
  </si>
  <si>
    <t xml:space="preserve">X-Too S</t>
  </si>
  <si>
    <t xml:space="preserve">Lombardini</t>
  </si>
  <si>
    <t xml:space="preserve">Optimax Progress</t>
  </si>
  <si>
    <t xml:space="preserve">2010–2012</t>
  </si>
  <si>
    <t xml:space="preserve">Optimax DCI</t>
  </si>
  <si>
    <t xml:space="preserve">JS RC Progress</t>
  </si>
  <si>
    <t xml:space="preserve">2012–2016</t>
  </si>
  <si>
    <t xml:space="preserve">JS RC DCI</t>
  </si>
  <si>
    <t xml:space="preserve">IXO Progress</t>
  </si>
  <si>
    <t xml:space="preserve">2010–2014</t>
  </si>
  <si>
    <t xml:space="preserve">JS 60 Progress</t>
  </si>
  <si>
    <t xml:space="preserve">JS 60 DCI</t>
  </si>
  <si>
    <t xml:space="preserve">Nova 500</t>
  </si>
  <si>
    <t xml:space="preserve">2002–2006</t>
  </si>
  <si>
    <t xml:space="preserve">Lombardini FOCS LDW502</t>
  </si>
  <si>
    <t xml:space="preserve">X-Pro</t>
  </si>
  <si>
    <t xml:space="preserve">2006–2010</t>
  </si>
  <si>
    <t xml:space="preserve">Renault</t>
  </si>
  <si>
    <t xml:space="preserve">Twizy 45</t>
  </si>
  <si>
    <t xml:space="preserve">2012–2023</t>
  </si>
  <si>
    <t xml:space="preserve">ECE-15</t>
  </si>
  <si>
    <t xml:space="preserve">Câble intégré prise domestique</t>
  </si>
  <si>
    <t xml:space="preserve">https://www.automobile-propre.com/voitures/renault-twizy/fiche-technique</t>
  </si>
  <si>
    <t xml:space="preserve">Vérifié par Claude le 10/10/2026 : batterie 6,1 kWh, 5 ch (≈3,7 kW), autonomie normalisée 120 km (cycle non précisé ; la même page affiche aussi 81–97 km). Masse non publiée. Conso 6,3 = Gemini, non vérifiée.</t>
  </si>
  <si>
    <t xml:space="preserve">Bellier</t>
  </si>
  <si>
    <t xml:space="preserve">B8</t>
  </si>
  <si>
    <t xml:space="preserve">2015–</t>
  </si>
  <si>
    <t xml:space="preserve">Lombardini DCI Common Rail</t>
  </si>
  <si>
    <t xml:space="preserve">https://www.bellier.fr/</t>
  </si>
  <si>
    <t xml:space="preserve">Inspiré du design de la Fiat 500. | Valeurs proposées par Gemini (v2 de Gianny), à vérifier lien par lien (la source citée ne donne pas de fiche technique).</t>
  </si>
  <si>
    <t xml:space="preserve">Minauto Access</t>
  </si>
  <si>
    <t xml:space="preserve">2018–</t>
  </si>
  <si>
    <t xml:space="preserve">Kubota Z482</t>
  </si>
  <si>
    <t xml:space="preserve">https://www.aixam.com/</t>
  </si>
  <si>
    <t xml:space="preserve">Modèle entrée de gamme essentiel. | Valeurs proposées par Gemini (v2 de Gianny), à vérifier lien par lien (la source citée ne donne pas de fiche technique).</t>
  </si>
  <si>
    <t xml:space="preserve">Crossline</t>
  </si>
  <si>
    <t xml:space="preserve">Kubota Diesel 0.5</t>
  </si>
  <si>
    <t xml:space="preserve">Grand coffre de sa catégorie. | Valeurs proposées par Gemini (v2 de Gianny), à vérifier lien par lien (la source citée ne donne pas de fiche technique).</t>
  </si>
  <si>
    <t xml:space="preserve">Casalini</t>
  </si>
  <si>
    <t xml:space="preserve">550 GranSport</t>
  </si>
  <si>
    <t xml:space="preserve">Kohler 550 DCI</t>
  </si>
  <si>
    <t xml:space="preserve">https://www.casalini.it/</t>
  </si>
  <si>
    <t xml:space="preserve">Premium Italien, grand réservoir. | Valeurs proposées par Gemini (v2 de Gianny), à vérifier lien par lien (la source citée ne donne pas de fiche technique).</t>
  </si>
  <si>
    <t xml:space="preserve">Opel</t>
  </si>
  <si>
    <t xml:space="preserve">Rocks Electric</t>
  </si>
  <si>
    <t xml:space="preserve">https://www.opel.fr/</t>
  </si>
  <si>
    <t xml:space="preserve">Clone parfait de la Citroën Ami. | Valeurs proposées par Gemini (v2 de Gianny), à vérifier lien par lien (la source citée ne donne pas de fiche technique).</t>
  </si>
  <si>
    <t xml:space="preserve">Base véhicules VSP : légende</t>
  </si>
  <si>
    <t xml:space="preserve">Une ligne = une motorisation</t>
  </si>
  <si>
    <t xml:space="preserve">L'app propose Marque, puis Modèle, puis Motorisation. Chaque ligne est un choix final.</t>
  </si>
  <si>
    <t xml:space="preserve">Texte bleu</t>
  </si>
  <si>
    <t xml:space="preserve">Valeur saisie, à corriger si tu as une meilleure source.</t>
  </si>
  <si>
    <t xml:space="preserve">Texte noir</t>
  </si>
  <si>
    <t xml:space="preserve">Formule : ne pas modifier (Conso retenue, Autonomie calculée).</t>
  </si>
  <si>
    <t xml:space="preserve">Cellule jaune</t>
  </si>
  <si>
    <t xml:space="preserve">Donnée manquante à compléter.</t>
  </si>
  <si>
    <t xml:space="preserve">Statut orange</t>
  </si>
  <si>
    <t xml:space="preserve">Ligne « À vérifier » ou « À compléter ».</t>
  </si>
  <si>
    <t xml:space="preserve">Statut « Vérifié »</t>
  </si>
  <si>
    <t xml:space="preserve">Chaque valeur vient de la source citée sur la ligne.</t>
  </si>
  <si>
    <t xml:space="preserve">Statut « À vérifier »</t>
  </si>
  <si>
    <t xml:space="preserve">Source fragile ou partielle (avis utilisateur, article de lancement, prise non confirmée).</t>
  </si>
  <si>
    <t xml:space="preserve">Statut « À compléter »</t>
  </si>
  <si>
    <t xml:space="preserve">Modèle connu, fiche technique non trouvée.</t>
  </si>
  <si>
    <t xml:space="preserve">Cycles de mesure</t>
  </si>
  <si>
    <t xml:space="preserve">WLTP (voitures), WMTC (deux-roues et quadricycles), « mixte » (cycle constructeur). Les valeurs ne sont pas strictement comparables entre cycles.</t>
  </si>
  <si>
    <t xml:space="preserve">Batterie</t>
  </si>
  <si>
    <t xml:space="preserve">Capacité utile quand elle est connue, sinon brute (précisé dans la motorisation).</t>
  </si>
  <si>
    <t xml:space="preserve">Masses</t>
  </si>
  <si>
    <t xml:space="preserve">Masse à vide hors conducteur, selon la source.</t>
  </si>
  <si>
    <t xml:space="preserve">Modèles encore absents</t>
  </si>
  <si>
    <t xml:space="preserve">Marques encore sans ligne : Dué, JDM, Microcar Dué / Highland, Chatenet CH40, Aixam City / Crossover, Aixam électriques récentes.</t>
  </si>
  <si>
    <t xml:space="preserve">Recherche du 10/10/2026</t>
  </si>
  <si>
    <t xml:space="preserve">Sources en ligne consultées par Claude ; aucune base gratuite et complète de fiches VSP n'a été trouvée.</t>
  </si>
  <si>
    <t xml:space="preserve">Piste : numéro de type</t>
  </si>
  <si>
    <t xml:space="preserve">Nessycar identifie chaque véhicule par un code type (ex. VJRJS14 chez Ligier). Ce code figure sur la carte grise : l'app pourrait proposer de le saisir pour trouver directement la bonne motorisation.</t>
  </si>
  <si>
    <t xml:space="preserve">Version 3 (10/10/2026)</t>
  </si>
  <si>
    <t xml:space="preserve">Fusion de la v2 envoyée par Gianny : nouvelles lignes conservées en « À vérifier », formules de consommation et d'autonomie rétablies.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</si>
</sst>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automoli.com/fr/vehicles/ligier/js50/js50-i-long-10622/" TargetMode="External"/><Relationship Id="rId3" Type="http://schemas.openxmlformats.org/officeDocument/2006/relationships/hyperlink" Target="https://www.automoli.com/fr/vehicles/ligier/js50/js50-i-long-10622/" TargetMode="External"/><Relationship Id="rId4" Type="http://schemas.openxmlformats.org/officeDocument/2006/relationships/hyperlink" Target="https://www.automoli.com/fr/vehicles/ligier/js50/js50-i-facelift-2017-10620/" TargetMode="External"/><Relationship Id="rId5" Type="http://schemas.openxmlformats.org/officeDocument/2006/relationships/hyperlink" Target="https://www.automoli.com/fr/vehicles/ligier/js50/js50-i-facelift-2017-10620/" TargetMode="External"/><Relationship Id="rId6" Type="http://schemas.openxmlformats.org/officeDocument/2006/relationships/hyperlink" Target="https://www.automoli.com/fr/vehicles/ligier/js50/js50-i-facelift-2017-10620/" TargetMode="External"/><Relationship Id="rId7" Type="http://schemas.openxmlformats.org/officeDocument/2006/relationships/hyperlink" Target="https://www.ligier.fr/wp-content/uploads/2023/03/FICHE-EQUIPEMENT-TECHNIQUE-MYLI.pdf" TargetMode="External"/><Relationship Id="rId8" Type="http://schemas.openxmlformats.org/officeDocument/2006/relationships/hyperlink" Target="https://www.ligier.fr/wp-content/uploads/2023/03/FICHE-EQUIPEMENT-TECHNIQUE-MYLI.pdf" TargetMode="External"/><Relationship Id="rId9" Type="http://schemas.openxmlformats.org/officeDocument/2006/relationships/hyperlink" Target="https://www.ligier.fr/wp-content/uploads/2023/03/FICHE-EQUIPEMENT-TECHNIQUE-MYLI.pdf" TargetMode="External"/><Relationship Id="rId10" Type="http://schemas.openxmlformats.org/officeDocument/2006/relationships/hyperlink" Target="https://www.auto-data.net/fr/aixam-sansation-coupe-0.5d-8hp-automatic-35914" TargetMode="External"/><Relationship Id="rId11" Type="http://schemas.openxmlformats.org/officeDocument/2006/relationships/hyperlink" Target="https://www.largus.fr/actualite-automobile/aixam-se-lance-dans-l-electrique-2446385.html" TargetMode="External"/><Relationship Id="rId12" Type="http://schemas.openxmlformats.org/officeDocument/2006/relationships/hyperlink" Target="https://autotijd.be/fr/fiches-techniques/citroen/ami/55-kwh-8-hp-3575" TargetMode="External"/><Relationship Id="rId13" Type="http://schemas.openxmlformats.org/officeDocument/2006/relationships/hyperlink" Target="https://autotijd.be/fr/fiches-techniques/citroen/ami/54-kwh-8-hp-4421" TargetMode="External"/><Relationship Id="rId14" Type="http://schemas.openxmlformats.org/officeDocument/2006/relationships/hyperlink" Target="https://autotijd.be/fr/fiches-techniques/fiat/topolino/54-kwh-8-hp-4423" TargetMode="External"/><Relationship Id="rId15" Type="http://schemas.openxmlformats.org/officeDocument/2006/relationships/hyperlink" Target="https://www.automobile-propre.com/voitures/mobilize-duo/fiche-technique" TargetMode="External"/><Relationship Id="rId16" Type="http://schemas.openxmlformats.org/officeDocument/2006/relationships/hyperlink" Target="https://www.autocentrum.pl/chatenet/ch46/silnik-diesla-0.48-lombardini-kohler-hdi-6km-od-2021/" TargetMode="External"/><Relationship Id="rId17" Type="http://schemas.openxmlformats.org/officeDocument/2006/relationships/hyperlink" Target="https://www.auto-swiat.pl/katalog-samochodow/microcar-mgo-iv-mgo-6-x-dci-cvt-diesel-8-km-6-kw/vng0wmq" TargetMode="External"/><Relationship Id="rId18" Type="http://schemas.openxmlformats.org/officeDocument/2006/relationships/hyperlink" Target="https://nessycar.fr/s-1/index/marques-ligier" TargetMode="External"/><Relationship Id="rId19" Type="http://schemas.openxmlformats.org/officeDocument/2006/relationships/hyperlink" Target="https://nessycar.fr/s-1/index/marques-ligier" TargetMode="External"/><Relationship Id="rId20" Type="http://schemas.openxmlformats.org/officeDocument/2006/relationships/hyperlink" Target="https://nessycar.fr/s-1/index/marques-ligier" TargetMode="External"/><Relationship Id="rId21" Type="http://schemas.openxmlformats.org/officeDocument/2006/relationships/hyperlink" Target="https://nessycar.fr/s-1/index/marques-ligier" TargetMode="External"/><Relationship Id="rId22" Type="http://schemas.openxmlformats.org/officeDocument/2006/relationships/hyperlink" Target="https://nessycar.fr/s-1/index/marques-ligier" TargetMode="External"/><Relationship Id="rId23" Type="http://schemas.openxmlformats.org/officeDocument/2006/relationships/hyperlink" Target="https://nessycar.fr/s-1/index/marques-ligier" TargetMode="External"/><Relationship Id="rId24" Type="http://schemas.openxmlformats.org/officeDocument/2006/relationships/hyperlink" Target="https://nessycar.fr/s-1/index/marques-ligier" TargetMode="External"/><Relationship Id="rId25" Type="http://schemas.openxmlformats.org/officeDocument/2006/relationships/hyperlink" Target="https://nessycar.fr/s-1/index/marques-ligier" TargetMode="External"/><Relationship Id="rId26" Type="http://schemas.openxmlformats.org/officeDocument/2006/relationships/hyperlink" Target="https://nessycar.fr/s-1/index/marques-ligier" TargetMode="External"/><Relationship Id="rId27" Type="http://schemas.openxmlformats.org/officeDocument/2006/relationships/hyperlink" Target="https://nessycar.fr/s-1/index/marques-ligier" TargetMode="External"/><Relationship Id="rId28" Type="http://schemas.openxmlformats.org/officeDocument/2006/relationships/hyperlink" Target="https://nessycar.fr/s-1/index/marques-ligier" TargetMode="External"/><Relationship Id="rId29" Type="http://schemas.openxmlformats.org/officeDocument/2006/relationships/hyperlink" Target="https://nessycar.fr/s-1/index/marques-ligier" TargetMode="External"/><Relationship Id="rId30" Type="http://schemas.openxmlformats.org/officeDocument/2006/relationships/hyperlink" Target="https://nessycar.fr/s-1/index/marques-ligier" TargetMode="External"/><Relationship Id="rId31" Type="http://schemas.openxmlformats.org/officeDocument/2006/relationships/hyperlink" Target="https://nessycar.fr/s-1/index/marques-ligier" TargetMode="External"/><Relationship Id="rId32" Type="http://schemas.openxmlformats.org/officeDocument/2006/relationships/hyperlink" Target="https://nessycar.fr/s-1/index/marques-ligier" TargetMode="External"/><Relationship Id="rId33" Type="http://schemas.openxmlformats.org/officeDocument/2006/relationships/hyperlink" Target="https://nessycar.fr/s-1/index/marques-ligier" TargetMode="External"/><Relationship Id="rId34" Type="http://schemas.openxmlformats.org/officeDocument/2006/relationships/hyperlink" Target="https://nessycar.fr/s-1/index/marques-ligier" TargetMode="External"/><Relationship Id="rId35" Type="http://schemas.openxmlformats.org/officeDocument/2006/relationships/hyperlink" Target="https://www.automobile-propre.com/voitures/renault-twizy/fiche-technique" TargetMode="External"/><Relationship Id="rId36" Type="http://schemas.openxmlformats.org/officeDocument/2006/relationships/hyperlink" Target="https://www.bellier.fr/" TargetMode="External"/><Relationship Id="rId37" Type="http://schemas.openxmlformats.org/officeDocument/2006/relationships/hyperlink" Target="https://www.aixam.com/" TargetMode="External"/><Relationship Id="rId38" Type="http://schemas.openxmlformats.org/officeDocument/2006/relationships/hyperlink" Target="https://www.aixam.com/" TargetMode="External"/><Relationship Id="rId39" Type="http://schemas.openxmlformats.org/officeDocument/2006/relationships/hyperlink" Target="https://www.casalini.it/" TargetMode="External"/><Relationship Id="rId40" Type="http://schemas.openxmlformats.org/officeDocument/2006/relationships/hyperlink" Target="https://www.opel.fr/" TargetMode="External"/><Relationship Id="rId41" Type="http://schemas.openxmlformats.org/officeDocument/2006/relationships/drawing" Target="../drawings/drawing1.xml"/><Relationship Id="rId4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32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10" min="9" style="1" width="10"/>
    <col collapsed="false" customWidth="true" hidden="false" outlineLevel="0" max="12" min="11" style="1" width="9"/>
    <col collapsed="false" customWidth="true" hidden="false" outlineLevel="0" max="13" min="13" style="1" width="12"/>
    <col collapsed="false" customWidth="true" hidden="false" outlineLevel="0" max="14" min="14" style="1" width="11"/>
    <col collapsed="false" customWidth="true" hidden="false" outlineLevel="0" max="16" min="15" style="1" width="12"/>
    <col collapsed="false" customWidth="true" hidden="false" outlineLevel="0" max="17" min="17" style="1" width="13"/>
    <col collapsed="false" customWidth="true" hidden="false" outlineLevel="0" max="18" min="18" style="1" width="30"/>
    <col collapsed="false" customWidth="true" hidden="false" outlineLevel="0" max="19" min="19" style="1" width="11"/>
    <col collapsed="false" customWidth="true" hidden="false" outlineLevel="0" max="20" min="20" style="1" width="13"/>
    <col collapsed="false" customWidth="true" hidden="false" outlineLevel="0" max="21" min="21" style="1" width="12"/>
    <col collapsed="false" customWidth="true" hidden="false" outlineLevel="0" max="22" min="22" style="1" width="40"/>
    <col collapsed="false" customWidth="true" hidden="false" outlineLevel="0" max="23" min="23" style="1" width="50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5" hidden="false" customHeight="true" outlineLevel="0" collapsed="false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n">
        <v>505</v>
      </c>
      <c r="G2" s="3"/>
      <c r="H2" s="3" t="n">
        <v>350</v>
      </c>
      <c r="I2" s="3" t="n">
        <v>17.5</v>
      </c>
      <c r="J2" s="3"/>
      <c r="K2" s="4" t="n">
        <v>3.57</v>
      </c>
      <c r="L2" s="4" t="n">
        <v>3.57</v>
      </c>
      <c r="M2" s="3" t="s">
        <v>28</v>
      </c>
      <c r="N2" s="5" t="n">
        <f aca="false">IF(AND(K2="",L2=""),"",AVERAGE(K2:L2))</f>
        <v>3.57</v>
      </c>
      <c r="O2" s="3"/>
      <c r="P2" s="6" t="n">
        <f aca="false">IF(OR(N2="",IF(E2="Diesel",I2,J2)=""),"",ROUND(IF(E2="Diesel",I2,J2)/N2*100,0))</f>
        <v>490</v>
      </c>
      <c r="Q2" s="3" t="s">
        <v>29</v>
      </c>
      <c r="R2" s="3"/>
      <c r="S2" s="3"/>
      <c r="T2" s="3"/>
      <c r="U2" s="3" t="s">
        <v>30</v>
      </c>
      <c r="V2" s="7" t="s">
        <v>31</v>
      </c>
      <c r="W2" s="3"/>
    </row>
    <row r="3" customFormat="false" ht="15" hidden="false" customHeight="true" outlineLevel="0" collapsed="false">
      <c r="A3" s="3" t="s">
        <v>23</v>
      </c>
      <c r="B3" s="3" t="s">
        <v>24</v>
      </c>
      <c r="C3" s="3" t="s">
        <v>25</v>
      </c>
      <c r="D3" s="3" t="s">
        <v>32</v>
      </c>
      <c r="E3" s="3" t="s">
        <v>27</v>
      </c>
      <c r="F3" s="3" t="n">
        <v>480</v>
      </c>
      <c r="G3" s="3"/>
      <c r="H3" s="3" t="n">
        <v>350</v>
      </c>
      <c r="I3" s="3" t="n">
        <v>17.5</v>
      </c>
      <c r="J3" s="3"/>
      <c r="K3" s="4" t="n">
        <v>2.5</v>
      </c>
      <c r="L3" s="4" t="n">
        <v>2.5</v>
      </c>
      <c r="M3" s="3" t="s">
        <v>28</v>
      </c>
      <c r="N3" s="5" t="n">
        <f aca="false">IF(AND(K3="",L3=""),"",AVERAGE(K3:L3))</f>
        <v>2.5</v>
      </c>
      <c r="O3" s="3"/>
      <c r="P3" s="6" t="n">
        <f aca="false">IF(OR(N3="",IF(E3="Diesel",I3,J3)=""),"",ROUND(IF(E3="Diesel",I3,J3)/N3*100,0))</f>
        <v>700</v>
      </c>
      <c r="Q3" s="3" t="s">
        <v>29</v>
      </c>
      <c r="R3" s="3"/>
      <c r="S3" s="3"/>
      <c r="T3" s="3"/>
      <c r="U3" s="3" t="s">
        <v>30</v>
      </c>
      <c r="V3" s="7" t="s">
        <v>31</v>
      </c>
      <c r="W3" s="3"/>
    </row>
    <row r="4" customFormat="false" ht="15" hidden="false" customHeight="true" outlineLevel="0" collapsed="false">
      <c r="A4" s="3" t="s">
        <v>23</v>
      </c>
      <c r="B4" s="3" t="s">
        <v>24</v>
      </c>
      <c r="C4" s="3" t="s">
        <v>33</v>
      </c>
      <c r="D4" s="3" t="s">
        <v>26</v>
      </c>
      <c r="E4" s="3" t="s">
        <v>27</v>
      </c>
      <c r="F4" s="3" t="n">
        <v>505</v>
      </c>
      <c r="G4" s="3"/>
      <c r="H4" s="3" t="n">
        <v>345</v>
      </c>
      <c r="I4" s="3" t="n">
        <v>17.5</v>
      </c>
      <c r="J4" s="3"/>
      <c r="K4" s="4" t="n">
        <v>3.57</v>
      </c>
      <c r="L4" s="4" t="n">
        <v>3.57</v>
      </c>
      <c r="M4" s="3" t="s">
        <v>28</v>
      </c>
      <c r="N4" s="5" t="n">
        <f aca="false">IF(AND(K4="",L4=""),"",AVERAGE(K4:L4))</f>
        <v>3.57</v>
      </c>
      <c r="O4" s="3"/>
      <c r="P4" s="6" t="n">
        <f aca="false">IF(OR(N4="",IF(E4="Diesel",I4,J4)=""),"",ROUND(IF(E4="Diesel",I4,J4)/N4*100,0))</f>
        <v>490</v>
      </c>
      <c r="Q4" s="3" t="s">
        <v>29</v>
      </c>
      <c r="R4" s="3"/>
      <c r="S4" s="3"/>
      <c r="T4" s="3"/>
      <c r="U4" s="3" t="s">
        <v>30</v>
      </c>
      <c r="V4" s="7" t="s">
        <v>34</v>
      </c>
      <c r="W4" s="3"/>
    </row>
    <row r="5" customFormat="false" ht="15" hidden="false" customHeight="true" outlineLevel="0" collapsed="false">
      <c r="A5" s="3" t="s">
        <v>23</v>
      </c>
      <c r="B5" s="3" t="s">
        <v>24</v>
      </c>
      <c r="C5" s="3" t="s">
        <v>35</v>
      </c>
      <c r="D5" s="3" t="s">
        <v>36</v>
      </c>
      <c r="E5" s="3" t="s">
        <v>27</v>
      </c>
      <c r="F5" s="3" t="n">
        <v>505</v>
      </c>
      <c r="G5" s="3"/>
      <c r="H5" s="3" t="n">
        <v>345</v>
      </c>
      <c r="I5" s="3" t="n">
        <v>17.5</v>
      </c>
      <c r="J5" s="3"/>
      <c r="K5" s="4" t="n">
        <v>3.57</v>
      </c>
      <c r="L5" s="4" t="n">
        <v>3.57</v>
      </c>
      <c r="M5" s="3" t="s">
        <v>28</v>
      </c>
      <c r="N5" s="5" t="n">
        <f aca="false">IF(AND(K5="",L5=""),"",AVERAGE(K5:L5))</f>
        <v>3.57</v>
      </c>
      <c r="O5" s="3"/>
      <c r="P5" s="6" t="n">
        <f aca="false">IF(OR(N5="",IF(E5="Diesel",I5,J5)=""),"",ROUND(IF(E5="Diesel",I5,J5)/N5*100,0))</f>
        <v>490</v>
      </c>
      <c r="Q5" s="3" t="s">
        <v>29</v>
      </c>
      <c r="R5" s="3"/>
      <c r="S5" s="3"/>
      <c r="T5" s="3"/>
      <c r="U5" s="3" t="s">
        <v>30</v>
      </c>
      <c r="V5" s="7" t="s">
        <v>34</v>
      </c>
      <c r="W5" s="3"/>
    </row>
    <row r="6" customFormat="false" ht="15" hidden="false" customHeight="true" outlineLevel="0" collapsed="false">
      <c r="A6" s="3" t="s">
        <v>23</v>
      </c>
      <c r="B6" s="3" t="s">
        <v>24</v>
      </c>
      <c r="C6" s="3" t="s">
        <v>35</v>
      </c>
      <c r="D6" s="3" t="s">
        <v>37</v>
      </c>
      <c r="E6" s="3" t="s">
        <v>27</v>
      </c>
      <c r="F6" s="3" t="n">
        <v>480</v>
      </c>
      <c r="G6" s="3"/>
      <c r="H6" s="3" t="n">
        <v>345</v>
      </c>
      <c r="I6" s="3" t="n">
        <v>17.5</v>
      </c>
      <c r="J6" s="3"/>
      <c r="K6" s="4" t="n">
        <v>2.5</v>
      </c>
      <c r="L6" s="4" t="n">
        <v>2.5</v>
      </c>
      <c r="M6" s="3" t="s">
        <v>28</v>
      </c>
      <c r="N6" s="5" t="n">
        <f aca="false">IF(AND(K6="",L6=""),"",AVERAGE(K6:L6))</f>
        <v>2.5</v>
      </c>
      <c r="O6" s="3"/>
      <c r="P6" s="6" t="n">
        <f aca="false">IF(OR(N6="",IF(E6="Diesel",I6,J6)=""),"",ROUND(IF(E6="Diesel",I6,J6)/N6*100,0))</f>
        <v>700</v>
      </c>
      <c r="Q6" s="3" t="s">
        <v>29</v>
      </c>
      <c r="R6" s="3"/>
      <c r="S6" s="3"/>
      <c r="T6" s="3"/>
      <c r="U6" s="3" t="s">
        <v>30</v>
      </c>
      <c r="V6" s="7" t="s">
        <v>34</v>
      </c>
      <c r="W6" s="3"/>
    </row>
    <row r="7" customFormat="false" ht="26.25" hidden="false" customHeight="true" outlineLevel="0" collapsed="false">
      <c r="A7" s="3" t="s">
        <v>23</v>
      </c>
      <c r="B7" s="3" t="s">
        <v>38</v>
      </c>
      <c r="C7" s="3" t="s">
        <v>39</v>
      </c>
      <c r="D7" s="3" t="s">
        <v>40</v>
      </c>
      <c r="E7" s="3" t="s">
        <v>41</v>
      </c>
      <c r="F7" s="3"/>
      <c r="G7" s="3" t="n">
        <v>6</v>
      </c>
      <c r="H7" s="3" t="n">
        <v>371</v>
      </c>
      <c r="I7" s="3"/>
      <c r="J7" s="3" t="n">
        <v>4.14</v>
      </c>
      <c r="K7" s="4"/>
      <c r="L7" s="4"/>
      <c r="M7" s="3" t="s">
        <v>42</v>
      </c>
      <c r="N7" s="5" t="str">
        <f aca="false">IF(AND(K7="",L7=""),"",AVERAGE(K7:L7))</f>
        <v/>
      </c>
      <c r="O7" s="3" t="n">
        <v>63</v>
      </c>
      <c r="P7" s="6" t="str">
        <f aca="false">IF(OR(N7="",IF(E7="Diesel",I7,J7)=""),"",ROUND(IF(E7="Diesel",I7,J7)/N7*100,0))</f>
        <v/>
      </c>
      <c r="Q7" s="3" t="s">
        <v>43</v>
      </c>
      <c r="R7" s="3" t="s">
        <v>44</v>
      </c>
      <c r="S7" s="3" t="n">
        <v>2</v>
      </c>
      <c r="T7" s="3" t="s">
        <v>45</v>
      </c>
      <c r="U7" s="3" t="s">
        <v>30</v>
      </c>
      <c r="V7" s="7" t="s">
        <v>46</v>
      </c>
      <c r="W7" s="3" t="s">
        <v>47</v>
      </c>
    </row>
    <row r="8" customFormat="false" ht="26.25" hidden="false" customHeight="true" outlineLevel="0" collapsed="false">
      <c r="A8" s="3" t="s">
        <v>23</v>
      </c>
      <c r="B8" s="3" t="s">
        <v>38</v>
      </c>
      <c r="C8" s="3" t="s">
        <v>39</v>
      </c>
      <c r="D8" s="3" t="s">
        <v>48</v>
      </c>
      <c r="E8" s="3" t="s">
        <v>41</v>
      </c>
      <c r="F8" s="3"/>
      <c r="G8" s="3" t="n">
        <v>6</v>
      </c>
      <c r="H8" s="3" t="n">
        <v>371</v>
      </c>
      <c r="I8" s="3"/>
      <c r="J8" s="3" t="n">
        <v>8.28</v>
      </c>
      <c r="K8" s="4"/>
      <c r="L8" s="4"/>
      <c r="M8" s="3" t="s">
        <v>42</v>
      </c>
      <c r="N8" s="5" t="str">
        <f aca="false">IF(AND(K8="",L8=""),"",AVERAGE(K8:L8))</f>
        <v/>
      </c>
      <c r="O8" s="3" t="n">
        <v>123</v>
      </c>
      <c r="P8" s="6" t="str">
        <f aca="false">IF(OR(N8="",IF(E8="Diesel",I8,J8)=""),"",ROUND(IF(E8="Diesel",I8,J8)/N8*100,0))</f>
        <v/>
      </c>
      <c r="Q8" s="3" t="s">
        <v>43</v>
      </c>
      <c r="R8" s="3" t="s">
        <v>44</v>
      </c>
      <c r="S8" s="3" t="n">
        <v>2</v>
      </c>
      <c r="T8" s="3" t="s">
        <v>49</v>
      </c>
      <c r="U8" s="3" t="s">
        <v>30</v>
      </c>
      <c r="V8" s="7" t="s">
        <v>46</v>
      </c>
      <c r="W8" s="3" t="s">
        <v>50</v>
      </c>
    </row>
    <row r="9" customFormat="false" ht="26.25" hidden="false" customHeight="true" outlineLevel="0" collapsed="false">
      <c r="A9" s="3" t="s">
        <v>23</v>
      </c>
      <c r="B9" s="3" t="s">
        <v>38</v>
      </c>
      <c r="C9" s="3" t="s">
        <v>39</v>
      </c>
      <c r="D9" s="3" t="s">
        <v>51</v>
      </c>
      <c r="E9" s="3" t="s">
        <v>41</v>
      </c>
      <c r="F9" s="3"/>
      <c r="G9" s="3" t="n">
        <v>6</v>
      </c>
      <c r="H9" s="3" t="n">
        <v>371</v>
      </c>
      <c r="I9" s="3"/>
      <c r="J9" s="3" t="n">
        <v>12.42</v>
      </c>
      <c r="K9" s="4"/>
      <c r="L9" s="4"/>
      <c r="M9" s="3" t="s">
        <v>42</v>
      </c>
      <c r="N9" s="5" t="str">
        <f aca="false">IF(AND(K9="",L9=""),"",AVERAGE(K9:L9))</f>
        <v/>
      </c>
      <c r="O9" s="3" t="n">
        <v>192</v>
      </c>
      <c r="P9" s="6" t="str">
        <f aca="false">IF(OR(N9="",IF(E9="Diesel",I9,J9)=""),"",ROUND(IF(E9="Diesel",I9,J9)/N9*100,0))</f>
        <v/>
      </c>
      <c r="Q9" s="3" t="s">
        <v>43</v>
      </c>
      <c r="R9" s="3" t="s">
        <v>44</v>
      </c>
      <c r="S9" s="3" t="n">
        <v>2</v>
      </c>
      <c r="T9" s="3" t="s">
        <v>52</v>
      </c>
      <c r="U9" s="3" t="s">
        <v>30</v>
      </c>
      <c r="V9" s="7" t="s">
        <v>46</v>
      </c>
      <c r="W9" s="3" t="s">
        <v>53</v>
      </c>
    </row>
    <row r="10" customFormat="false" ht="26.25" hidden="false" customHeight="true" outlineLevel="0" collapsed="false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27</v>
      </c>
      <c r="F10" s="3" t="n">
        <v>479</v>
      </c>
      <c r="G10" s="3"/>
      <c r="H10" s="3" t="n">
        <v>425</v>
      </c>
      <c r="I10" s="3" t="n">
        <v>16</v>
      </c>
      <c r="J10" s="3"/>
      <c r="K10" s="4" t="n">
        <v>3.1</v>
      </c>
      <c r="L10" s="4" t="n">
        <v>3.1</v>
      </c>
      <c r="M10" s="3" t="s">
        <v>28</v>
      </c>
      <c r="N10" s="5" t="n">
        <f aca="false">IF(AND(K10="",L10=""),"",AVERAGE(K10:L10))</f>
        <v>3.1</v>
      </c>
      <c r="O10" s="3"/>
      <c r="P10" s="6" t="n">
        <f aca="false">IF(OR(N10="",IF(E10="Diesel",I10,J10)=""),"",ROUND(IF(E10="Diesel",I10,J10)/N10*100,0))</f>
        <v>516</v>
      </c>
      <c r="Q10" s="3" t="s">
        <v>29</v>
      </c>
      <c r="R10" s="3"/>
      <c r="S10" s="3"/>
      <c r="T10" s="3"/>
      <c r="U10" s="3" t="s">
        <v>30</v>
      </c>
      <c r="V10" s="7" t="s">
        <v>58</v>
      </c>
      <c r="W10" s="3" t="s">
        <v>59</v>
      </c>
    </row>
    <row r="11" customFormat="false" ht="15" hidden="false" customHeight="true" outlineLevel="0" collapsed="false">
      <c r="A11" s="3" t="s">
        <v>54</v>
      </c>
      <c r="B11" s="3" t="s">
        <v>60</v>
      </c>
      <c r="C11" s="3" t="s">
        <v>61</v>
      </c>
      <c r="D11" s="3" t="s">
        <v>62</v>
      </c>
      <c r="E11" s="3" t="s">
        <v>41</v>
      </c>
      <c r="F11" s="3"/>
      <c r="G11" s="3" t="n">
        <v>4</v>
      </c>
      <c r="H11" s="3" t="n">
        <v>350</v>
      </c>
      <c r="I11" s="3"/>
      <c r="J11" s="8"/>
      <c r="K11" s="4"/>
      <c r="L11" s="4"/>
      <c r="M11" s="3" t="s">
        <v>42</v>
      </c>
      <c r="N11" s="5" t="str">
        <f aca="false">IF(AND(K11="",L11=""),"",AVERAGE(K11:L11))</f>
        <v/>
      </c>
      <c r="O11" s="3" t="n">
        <v>80</v>
      </c>
      <c r="P11" s="6" t="str">
        <f aca="false">IF(OR(N11="",IF(E11="Diesel",I11,J11)=""),"",ROUND(IF(E11="Diesel",I11,J11)/N11*100,0))</f>
        <v/>
      </c>
      <c r="Q11" s="3"/>
      <c r="R11" s="3" t="s">
        <v>63</v>
      </c>
      <c r="S11" s="8"/>
      <c r="T11" s="3" t="s">
        <v>64</v>
      </c>
      <c r="U11" s="9" t="s">
        <v>65</v>
      </c>
      <c r="V11" s="7" t="s">
        <v>66</v>
      </c>
      <c r="W11" s="3" t="s">
        <v>67</v>
      </c>
    </row>
    <row r="12" customFormat="false" ht="15" hidden="false" customHeight="true" outlineLevel="0" collapsed="false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41</v>
      </c>
      <c r="F12" s="3"/>
      <c r="G12" s="3" t="n">
        <v>6</v>
      </c>
      <c r="H12" s="3" t="n">
        <v>471</v>
      </c>
      <c r="I12" s="3"/>
      <c r="J12" s="3" t="n">
        <v>5.5</v>
      </c>
      <c r="K12" s="4"/>
      <c r="L12" s="4"/>
      <c r="M12" s="3" t="s">
        <v>42</v>
      </c>
      <c r="N12" s="5" t="str">
        <f aca="false">IF(AND(K12="",L12=""),"",AVERAGE(K12:L12))</f>
        <v/>
      </c>
      <c r="O12" s="3" t="n">
        <v>75</v>
      </c>
      <c r="P12" s="6" t="str">
        <f aca="false">IF(OR(N12="",IF(E12="Diesel",I12,J12)=""),"",ROUND(IF(E12="Diesel",I12,J12)/N12*100,0))</f>
        <v/>
      </c>
      <c r="Q12" s="3"/>
      <c r="R12" s="3" t="s">
        <v>72</v>
      </c>
      <c r="S12" s="3" t="n">
        <v>2.3</v>
      </c>
      <c r="T12" s="3" t="s">
        <v>73</v>
      </c>
      <c r="U12" s="9" t="s">
        <v>65</v>
      </c>
      <c r="V12" s="7" t="s">
        <v>74</v>
      </c>
      <c r="W12" s="3" t="s">
        <v>75</v>
      </c>
    </row>
    <row r="13" customFormat="false" ht="26.25" hidden="false" customHeight="true" outlineLevel="0" collapsed="false">
      <c r="A13" s="3" t="s">
        <v>68</v>
      </c>
      <c r="B13" s="3" t="s">
        <v>69</v>
      </c>
      <c r="C13" s="3" t="s">
        <v>76</v>
      </c>
      <c r="D13" s="3" t="s">
        <v>77</v>
      </c>
      <c r="E13" s="3" t="s">
        <v>41</v>
      </c>
      <c r="F13" s="3"/>
      <c r="G13" s="3" t="n">
        <v>6</v>
      </c>
      <c r="H13" s="3" t="n">
        <v>483</v>
      </c>
      <c r="I13" s="3"/>
      <c r="J13" s="3" t="n">
        <v>5.4</v>
      </c>
      <c r="K13" s="4" t="n">
        <v>7.2</v>
      </c>
      <c r="L13" s="4" t="n">
        <v>8</v>
      </c>
      <c r="M13" s="3" t="s">
        <v>42</v>
      </c>
      <c r="N13" s="5" t="n">
        <f aca="false">IF(AND(K13="",L13=""),"",AVERAGE(K13:L13))</f>
        <v>7.6</v>
      </c>
      <c r="O13" s="3" t="n">
        <v>75</v>
      </c>
      <c r="P13" s="6" t="n">
        <f aca="false">IF(OR(N13="",IF(E13="Diesel",I13,J13)=""),"",ROUND(IF(E13="Diesel",I13,J13)/N13*100,0))</f>
        <v>71</v>
      </c>
      <c r="Q13" s="3" t="s">
        <v>78</v>
      </c>
      <c r="R13" s="3" t="s">
        <v>72</v>
      </c>
      <c r="S13" s="3" t="n">
        <v>2.3</v>
      </c>
      <c r="T13" s="3" t="s">
        <v>79</v>
      </c>
      <c r="U13" s="3" t="s">
        <v>30</v>
      </c>
      <c r="V13" s="7" t="s">
        <v>80</v>
      </c>
      <c r="W13" s="3" t="s">
        <v>81</v>
      </c>
    </row>
    <row r="14" customFormat="false" ht="26.25" hidden="false" customHeight="true" outlineLevel="0" collapsed="false">
      <c r="A14" s="3" t="s">
        <v>82</v>
      </c>
      <c r="B14" s="3" t="s">
        <v>83</v>
      </c>
      <c r="C14" s="3" t="s">
        <v>84</v>
      </c>
      <c r="D14" s="3" t="s">
        <v>77</v>
      </c>
      <c r="E14" s="3" t="s">
        <v>41</v>
      </c>
      <c r="F14" s="3"/>
      <c r="G14" s="3" t="n">
        <v>6</v>
      </c>
      <c r="H14" s="3" t="n">
        <v>487</v>
      </c>
      <c r="I14" s="3"/>
      <c r="J14" s="3" t="n">
        <v>5.4</v>
      </c>
      <c r="K14" s="4" t="n">
        <v>7.2</v>
      </c>
      <c r="L14" s="4" t="n">
        <v>8</v>
      </c>
      <c r="M14" s="3" t="s">
        <v>42</v>
      </c>
      <c r="N14" s="5" t="n">
        <f aca="false">IF(AND(K14="",L14=""),"",AVERAGE(K14:L14))</f>
        <v>7.6</v>
      </c>
      <c r="O14" s="3" t="n">
        <v>75</v>
      </c>
      <c r="P14" s="6" t="n">
        <f aca="false">IF(OR(N14="",IF(E14="Diesel",I14,J14)=""),"",ROUND(IF(E14="Diesel",I14,J14)/N14*100,0))</f>
        <v>71</v>
      </c>
      <c r="Q14" s="3" t="s">
        <v>78</v>
      </c>
      <c r="R14" s="3"/>
      <c r="S14" s="3" t="n">
        <v>2.3</v>
      </c>
      <c r="T14" s="3" t="s">
        <v>79</v>
      </c>
      <c r="U14" s="3" t="s">
        <v>30</v>
      </c>
      <c r="V14" s="7" t="s">
        <v>85</v>
      </c>
      <c r="W14" s="3" t="s">
        <v>86</v>
      </c>
    </row>
    <row r="15" customFormat="false" ht="26.25" hidden="false" customHeight="true" outlineLevel="0" collapsed="false">
      <c r="A15" s="3" t="s">
        <v>87</v>
      </c>
      <c r="B15" s="3" t="s">
        <v>88</v>
      </c>
      <c r="C15" s="3" t="s">
        <v>84</v>
      </c>
      <c r="D15" s="3" t="s">
        <v>89</v>
      </c>
      <c r="E15" s="3" t="s">
        <v>41</v>
      </c>
      <c r="F15" s="3"/>
      <c r="G15" s="3" t="n">
        <v>6</v>
      </c>
      <c r="H15" s="3" t="n">
        <v>397</v>
      </c>
      <c r="I15" s="3"/>
      <c r="J15" s="3" t="n">
        <v>10.3</v>
      </c>
      <c r="K15" s="4" t="n">
        <v>8.8</v>
      </c>
      <c r="L15" s="4" t="n">
        <v>8.8</v>
      </c>
      <c r="M15" s="3" t="s">
        <v>42</v>
      </c>
      <c r="N15" s="5" t="n">
        <f aca="false">IF(AND(K15="",L15=""),"",AVERAGE(K15:L15))</f>
        <v>8.8</v>
      </c>
      <c r="O15" s="3" t="n">
        <v>161</v>
      </c>
      <c r="P15" s="6" t="n">
        <f aca="false">IF(OR(N15="",IF(E15="Diesel",I15,J15)=""),"",ROUND(IF(E15="Diesel",I15,J15)/N15*100,0))</f>
        <v>117</v>
      </c>
      <c r="Q15" s="3" t="s">
        <v>78</v>
      </c>
      <c r="R15" s="3" t="s">
        <v>90</v>
      </c>
      <c r="S15" s="3" t="n">
        <v>2</v>
      </c>
      <c r="T15" s="3"/>
      <c r="U15" s="3" t="s">
        <v>30</v>
      </c>
      <c r="V15" s="7" t="s">
        <v>91</v>
      </c>
      <c r="W15" s="3" t="s">
        <v>92</v>
      </c>
    </row>
    <row r="16" customFormat="false" ht="26.25" hidden="false" customHeight="true" outlineLevel="0" collapsed="false">
      <c r="A16" s="3" t="s">
        <v>93</v>
      </c>
      <c r="B16" s="3" t="s">
        <v>94</v>
      </c>
      <c r="C16" s="3" t="s">
        <v>95</v>
      </c>
      <c r="D16" s="3" t="s">
        <v>96</v>
      </c>
      <c r="E16" s="3" t="s">
        <v>27</v>
      </c>
      <c r="F16" s="3" t="n">
        <v>480</v>
      </c>
      <c r="G16" s="3" t="n">
        <v>4</v>
      </c>
      <c r="H16" s="8"/>
      <c r="I16" s="8"/>
      <c r="J16" s="3"/>
      <c r="K16" s="4" t="n">
        <v>4.5</v>
      </c>
      <c r="L16" s="4" t="n">
        <v>4.5</v>
      </c>
      <c r="M16" s="3" t="s">
        <v>28</v>
      </c>
      <c r="N16" s="5" t="n">
        <f aca="false">IF(AND(K16="",L16=""),"",AVERAGE(K16:L16))</f>
        <v>4.5</v>
      </c>
      <c r="O16" s="3"/>
      <c r="P16" s="6" t="str">
        <f aca="false">IF(OR(N16="",IF(E16="Diesel",I16,J16)=""),"",ROUND(IF(E16="Diesel",I16,J16)/N16*100,0))</f>
        <v/>
      </c>
      <c r="Q16" s="3" t="s">
        <v>97</v>
      </c>
      <c r="R16" s="3"/>
      <c r="S16" s="3"/>
      <c r="T16" s="3"/>
      <c r="U16" s="9" t="s">
        <v>65</v>
      </c>
      <c r="V16" s="7" t="s">
        <v>98</v>
      </c>
      <c r="W16" s="3" t="s">
        <v>99</v>
      </c>
    </row>
    <row r="17" customFormat="false" ht="26.25" hidden="false" customHeight="true" outlineLevel="0" collapsed="false">
      <c r="A17" s="3" t="s">
        <v>100</v>
      </c>
      <c r="B17" s="3" t="s">
        <v>101</v>
      </c>
      <c r="C17" s="3" t="s">
        <v>102</v>
      </c>
      <c r="D17" s="3" t="s">
        <v>103</v>
      </c>
      <c r="E17" s="3" t="s">
        <v>27</v>
      </c>
      <c r="F17" s="3" t="n">
        <v>480</v>
      </c>
      <c r="G17" s="3" t="n">
        <v>6</v>
      </c>
      <c r="H17" s="3" t="n">
        <v>418</v>
      </c>
      <c r="I17" s="3" t="n">
        <v>17.5</v>
      </c>
      <c r="J17" s="3"/>
      <c r="K17" s="4" t="n">
        <v>3</v>
      </c>
      <c r="L17" s="4" t="n">
        <v>3</v>
      </c>
      <c r="M17" s="3" t="s">
        <v>28</v>
      </c>
      <c r="N17" s="5" t="n">
        <f aca="false">IF(AND(K17="",L17=""),"",AVERAGE(K17:L17))</f>
        <v>3</v>
      </c>
      <c r="O17" s="3"/>
      <c r="P17" s="6" t="n">
        <f aca="false">IF(OR(N17="",IF(E17="Diesel",I17,J17)=""),"",ROUND(IF(E17="Diesel",I17,J17)/N17*100,0))</f>
        <v>583</v>
      </c>
      <c r="Q17" s="3" t="s">
        <v>29</v>
      </c>
      <c r="R17" s="3"/>
      <c r="S17" s="3"/>
      <c r="T17" s="3"/>
      <c r="U17" s="9" t="s">
        <v>65</v>
      </c>
      <c r="V17" s="7" t="s">
        <v>104</v>
      </c>
      <c r="W17" s="3" t="s">
        <v>105</v>
      </c>
    </row>
    <row r="18" customFormat="false" ht="26.25" hidden="false" customHeight="true" outlineLevel="0" collapsed="false">
      <c r="A18" s="3" t="s">
        <v>23</v>
      </c>
      <c r="B18" s="3" t="s">
        <v>106</v>
      </c>
      <c r="C18" s="3" t="s">
        <v>107</v>
      </c>
      <c r="D18" s="3" t="s">
        <v>108</v>
      </c>
      <c r="E18" s="3" t="s">
        <v>27</v>
      </c>
      <c r="F18" s="3" t="n">
        <v>505</v>
      </c>
      <c r="G18" s="3" t="n">
        <v>4</v>
      </c>
      <c r="H18" s="3" t="n">
        <v>350</v>
      </c>
      <c r="I18" s="3" t="n">
        <v>17.5</v>
      </c>
      <c r="J18" s="3"/>
      <c r="K18" s="4" t="n">
        <v>3.7</v>
      </c>
      <c r="L18" s="4" t="n">
        <v>3.7</v>
      </c>
      <c r="M18" s="3" t="s">
        <v>28</v>
      </c>
      <c r="N18" s="5" t="n">
        <f aca="false">IF(AND(K18="",L18=""),"",AVERAGE(K18:L18))</f>
        <v>3.7</v>
      </c>
      <c r="O18" s="3"/>
      <c r="P18" s="6" t="n">
        <f aca="false">IF(OR(N18="",IF(E18="Diesel",I18,J18)=""),"",ROUND(IF(E18="Diesel",I18,J18)/N18*100,0))</f>
        <v>473</v>
      </c>
      <c r="Q18" s="3" t="s">
        <v>29</v>
      </c>
      <c r="R18" s="3"/>
      <c r="S18" s="3"/>
      <c r="T18" s="3"/>
      <c r="U18" s="9" t="s">
        <v>65</v>
      </c>
      <c r="V18" s="7" t="s">
        <v>109</v>
      </c>
      <c r="W18" s="3" t="s">
        <v>110</v>
      </c>
    </row>
    <row r="19" customFormat="false" ht="15" hidden="false" customHeight="true" outlineLevel="0" collapsed="false">
      <c r="A19" s="3" t="s">
        <v>23</v>
      </c>
      <c r="B19" s="3" t="s">
        <v>111</v>
      </c>
      <c r="C19" s="3" t="s">
        <v>112</v>
      </c>
      <c r="D19" s="3" t="s">
        <v>108</v>
      </c>
      <c r="E19" s="3" t="s">
        <v>27</v>
      </c>
      <c r="F19" s="3" t="n">
        <v>505</v>
      </c>
      <c r="G19" s="3" t="n">
        <v>4</v>
      </c>
      <c r="H19" s="3" t="n">
        <v>350</v>
      </c>
      <c r="I19" s="3" t="n">
        <v>17.5</v>
      </c>
      <c r="J19" s="3"/>
      <c r="K19" s="4" t="n">
        <v>3.7</v>
      </c>
      <c r="L19" s="4" t="n">
        <v>3.7</v>
      </c>
      <c r="M19" s="3" t="s">
        <v>28</v>
      </c>
      <c r="N19" s="5" t="n">
        <f aca="false">IF(AND(K19="",L19=""),"",AVERAGE(K19:L19))</f>
        <v>3.7</v>
      </c>
      <c r="O19" s="3"/>
      <c r="P19" s="6" t="n">
        <f aca="false">IF(OR(N19="",IF(E19="Diesel",I19,J19)=""),"",ROUND(IF(E19="Diesel",I19,J19)/N19*100,0))</f>
        <v>473</v>
      </c>
      <c r="Q19" s="3" t="s">
        <v>29</v>
      </c>
      <c r="R19" s="3"/>
      <c r="S19" s="3"/>
      <c r="T19" s="3"/>
      <c r="U19" s="9" t="s">
        <v>65</v>
      </c>
      <c r="V19" s="7" t="s">
        <v>109</v>
      </c>
      <c r="W19" s="3" t="s">
        <v>113</v>
      </c>
    </row>
    <row r="20" customFormat="false" ht="15" hidden="false" customHeight="true" outlineLevel="0" collapsed="false">
      <c r="A20" s="3" t="s">
        <v>23</v>
      </c>
      <c r="B20" s="3" t="s">
        <v>114</v>
      </c>
      <c r="C20" s="3" t="s">
        <v>112</v>
      </c>
      <c r="D20" s="3" t="s">
        <v>108</v>
      </c>
      <c r="E20" s="3" t="s">
        <v>27</v>
      </c>
      <c r="F20" s="3" t="n">
        <v>505</v>
      </c>
      <c r="G20" s="3" t="n">
        <v>4</v>
      </c>
      <c r="H20" s="3" t="n">
        <v>350</v>
      </c>
      <c r="I20" s="3" t="n">
        <v>17.5</v>
      </c>
      <c r="J20" s="3"/>
      <c r="K20" s="4" t="n">
        <v>3.7</v>
      </c>
      <c r="L20" s="4" t="n">
        <v>3.7</v>
      </c>
      <c r="M20" s="3" t="s">
        <v>28</v>
      </c>
      <c r="N20" s="5" t="n">
        <f aca="false">IF(AND(K20="",L20=""),"",AVERAGE(K20:L20))</f>
        <v>3.7</v>
      </c>
      <c r="O20" s="3"/>
      <c r="P20" s="6" t="n">
        <f aca="false">IF(OR(N20="",IF(E20="Diesel",I20,J20)=""),"",ROUND(IF(E20="Diesel",I20,J20)/N20*100,0))</f>
        <v>473</v>
      </c>
      <c r="Q20" s="3" t="s">
        <v>29</v>
      </c>
      <c r="R20" s="3"/>
      <c r="S20" s="3"/>
      <c r="T20" s="3"/>
      <c r="U20" s="9" t="s">
        <v>65</v>
      </c>
      <c r="V20" s="7" t="s">
        <v>109</v>
      </c>
      <c r="W20" s="3" t="s">
        <v>113</v>
      </c>
    </row>
    <row r="21" customFormat="false" ht="15" hidden="false" customHeight="true" outlineLevel="0" collapsed="false">
      <c r="A21" s="3" t="s">
        <v>23</v>
      </c>
      <c r="B21" s="3" t="s">
        <v>115</v>
      </c>
      <c r="C21" s="3" t="s">
        <v>116</v>
      </c>
      <c r="D21" s="3" t="s">
        <v>108</v>
      </c>
      <c r="E21" s="3" t="s">
        <v>27</v>
      </c>
      <c r="F21" s="3" t="n">
        <v>505</v>
      </c>
      <c r="G21" s="3" t="n">
        <v>4</v>
      </c>
      <c r="H21" s="3" t="n">
        <v>350</v>
      </c>
      <c r="I21" s="3" t="n">
        <v>17.5</v>
      </c>
      <c r="J21" s="3"/>
      <c r="K21" s="4" t="n">
        <v>3.7</v>
      </c>
      <c r="L21" s="4" t="n">
        <v>3.7</v>
      </c>
      <c r="M21" s="3" t="s">
        <v>28</v>
      </c>
      <c r="N21" s="5" t="n">
        <f aca="false">IF(AND(K21="",L21=""),"",AVERAGE(K21:L21))</f>
        <v>3.7</v>
      </c>
      <c r="O21" s="3"/>
      <c r="P21" s="6" t="n">
        <f aca="false">IF(OR(N21="",IF(E21="Diesel",I21,J21)=""),"",ROUND(IF(E21="Diesel",I21,J21)/N21*100,0))</f>
        <v>473</v>
      </c>
      <c r="Q21" s="3" t="s">
        <v>29</v>
      </c>
      <c r="R21" s="3"/>
      <c r="S21" s="3"/>
      <c r="T21" s="3"/>
      <c r="U21" s="9" t="s">
        <v>65</v>
      </c>
      <c r="V21" s="7" t="s">
        <v>109</v>
      </c>
      <c r="W21" s="3" t="s">
        <v>113</v>
      </c>
    </row>
    <row r="22" customFormat="false" ht="15" hidden="false" customHeight="true" outlineLevel="0" collapsed="false">
      <c r="A22" s="3" t="s">
        <v>23</v>
      </c>
      <c r="B22" s="3" t="s">
        <v>117</v>
      </c>
      <c r="C22" s="3" t="s">
        <v>116</v>
      </c>
      <c r="D22" s="3" t="s">
        <v>118</v>
      </c>
      <c r="E22" s="3" t="s">
        <v>27</v>
      </c>
      <c r="F22" s="3" t="n">
        <v>442</v>
      </c>
      <c r="G22" s="3" t="n">
        <v>4</v>
      </c>
      <c r="H22" s="3" t="n">
        <v>350</v>
      </c>
      <c r="I22" s="3" t="n">
        <v>17.5</v>
      </c>
      <c r="J22" s="3"/>
      <c r="K22" s="4" t="n">
        <v>2.9</v>
      </c>
      <c r="L22" s="4" t="n">
        <v>2.9</v>
      </c>
      <c r="M22" s="3" t="s">
        <v>28</v>
      </c>
      <c r="N22" s="5" t="n">
        <f aca="false">IF(AND(K22="",L22=""),"",AVERAGE(K22:L22))</f>
        <v>2.9</v>
      </c>
      <c r="O22" s="3"/>
      <c r="P22" s="6" t="n">
        <f aca="false">IF(OR(N22="",IF(E22="Diesel",I22,J22)=""),"",ROUND(IF(E22="Diesel",I22,J22)/N22*100,0))</f>
        <v>603</v>
      </c>
      <c r="Q22" s="3" t="s">
        <v>29</v>
      </c>
      <c r="R22" s="3"/>
      <c r="S22" s="3"/>
      <c r="T22" s="3"/>
      <c r="U22" s="9" t="s">
        <v>65</v>
      </c>
      <c r="V22" s="7" t="s">
        <v>109</v>
      </c>
      <c r="W22" s="3" t="s">
        <v>113</v>
      </c>
    </row>
    <row r="23" customFormat="false" ht="15" hidden="false" customHeight="true" outlineLevel="0" collapsed="false">
      <c r="A23" s="3" t="s">
        <v>23</v>
      </c>
      <c r="B23" s="3" t="s">
        <v>119</v>
      </c>
      <c r="C23" s="3" t="s">
        <v>116</v>
      </c>
      <c r="D23" s="3" t="s">
        <v>108</v>
      </c>
      <c r="E23" s="3" t="s">
        <v>27</v>
      </c>
      <c r="F23" s="3" t="n">
        <v>505</v>
      </c>
      <c r="G23" s="3" t="n">
        <v>4</v>
      </c>
      <c r="H23" s="3" t="n">
        <v>350</v>
      </c>
      <c r="I23" s="3" t="n">
        <v>17.5</v>
      </c>
      <c r="J23" s="3"/>
      <c r="K23" s="4" t="n">
        <v>3.7</v>
      </c>
      <c r="L23" s="4" t="n">
        <v>3.7</v>
      </c>
      <c r="M23" s="3" t="s">
        <v>28</v>
      </c>
      <c r="N23" s="5" t="n">
        <f aca="false">IF(AND(K23="",L23=""),"",AVERAGE(K23:L23))</f>
        <v>3.7</v>
      </c>
      <c r="O23" s="3"/>
      <c r="P23" s="6" t="n">
        <f aca="false">IF(OR(N23="",IF(E23="Diesel",I23,J23)=""),"",ROUND(IF(E23="Diesel",I23,J23)/N23*100,0))</f>
        <v>473</v>
      </c>
      <c r="Q23" s="3" t="s">
        <v>29</v>
      </c>
      <c r="R23" s="3"/>
      <c r="S23" s="3"/>
      <c r="T23" s="3"/>
      <c r="U23" s="9" t="s">
        <v>65</v>
      </c>
      <c r="V23" s="7" t="s">
        <v>109</v>
      </c>
      <c r="W23" s="3" t="s">
        <v>113</v>
      </c>
    </row>
    <row r="24" customFormat="false" ht="15" hidden="false" customHeight="true" outlineLevel="0" collapsed="false">
      <c r="A24" s="3" t="s">
        <v>23</v>
      </c>
      <c r="B24" s="3" t="s">
        <v>120</v>
      </c>
      <c r="C24" s="3" t="s">
        <v>116</v>
      </c>
      <c r="D24" s="3" t="s">
        <v>121</v>
      </c>
      <c r="E24" s="3" t="s">
        <v>27</v>
      </c>
      <c r="F24" s="3" t="n">
        <v>442</v>
      </c>
      <c r="G24" s="3" t="n">
        <v>4</v>
      </c>
      <c r="H24" s="3" t="n">
        <v>350</v>
      </c>
      <c r="I24" s="3" t="n">
        <v>17.5</v>
      </c>
      <c r="J24" s="3"/>
      <c r="K24" s="4" t="n">
        <v>2.9</v>
      </c>
      <c r="L24" s="4" t="n">
        <v>2.9</v>
      </c>
      <c r="M24" s="3" t="s">
        <v>28</v>
      </c>
      <c r="N24" s="5" t="n">
        <f aca="false">IF(AND(K24="",L24=""),"",AVERAGE(K24:L24))</f>
        <v>2.9</v>
      </c>
      <c r="O24" s="3"/>
      <c r="P24" s="6" t="n">
        <f aca="false">IF(OR(N24="",IF(E24="Diesel",I24,J24)=""),"",ROUND(IF(E24="Diesel",I24,J24)/N24*100,0))</f>
        <v>603</v>
      </c>
      <c r="Q24" s="3" t="s">
        <v>29</v>
      </c>
      <c r="R24" s="3"/>
      <c r="S24" s="3"/>
      <c r="T24" s="3"/>
      <c r="U24" s="9" t="s">
        <v>65</v>
      </c>
      <c r="V24" s="7" t="s">
        <v>109</v>
      </c>
      <c r="W24" s="3" t="s">
        <v>113</v>
      </c>
    </row>
    <row r="25" customFormat="false" ht="15" hidden="false" customHeight="true" outlineLevel="0" collapsed="false">
      <c r="A25" s="3" t="s">
        <v>23</v>
      </c>
      <c r="B25" s="3" t="s">
        <v>122</v>
      </c>
      <c r="C25" s="3" t="s">
        <v>116</v>
      </c>
      <c r="D25" s="3" t="s">
        <v>123</v>
      </c>
      <c r="E25" s="3" t="s">
        <v>27</v>
      </c>
      <c r="F25" s="3" t="n">
        <v>505</v>
      </c>
      <c r="G25" s="3" t="n">
        <v>4</v>
      </c>
      <c r="H25" s="3" t="n">
        <v>350</v>
      </c>
      <c r="I25" s="3" t="n">
        <v>17.5</v>
      </c>
      <c r="J25" s="3"/>
      <c r="K25" s="4" t="n">
        <v>3.7</v>
      </c>
      <c r="L25" s="4" t="n">
        <v>3.7</v>
      </c>
      <c r="M25" s="3" t="s">
        <v>28</v>
      </c>
      <c r="N25" s="5" t="n">
        <f aca="false">IF(AND(K25="",L25=""),"",AVERAGE(K25:L25))</f>
        <v>3.7</v>
      </c>
      <c r="O25" s="3"/>
      <c r="P25" s="6" t="n">
        <f aca="false">IF(OR(N25="",IF(E25="Diesel",I25,J25)=""),"",ROUND(IF(E25="Diesel",I25,J25)/N25*100,0))</f>
        <v>473</v>
      </c>
      <c r="Q25" s="3" t="s">
        <v>29</v>
      </c>
      <c r="R25" s="3"/>
      <c r="S25" s="3"/>
      <c r="T25" s="3"/>
      <c r="U25" s="9" t="s">
        <v>65</v>
      </c>
      <c r="V25" s="7" t="s">
        <v>109</v>
      </c>
      <c r="W25" s="3" t="s">
        <v>113</v>
      </c>
    </row>
    <row r="26" customFormat="false" ht="15" hidden="false" customHeight="true" outlineLevel="0" collapsed="false">
      <c r="A26" s="3" t="s">
        <v>23</v>
      </c>
      <c r="B26" s="3" t="s">
        <v>124</v>
      </c>
      <c r="C26" s="3" t="s">
        <v>125</v>
      </c>
      <c r="D26" s="3" t="s">
        <v>108</v>
      </c>
      <c r="E26" s="3" t="s">
        <v>27</v>
      </c>
      <c r="F26" s="3" t="n">
        <v>505</v>
      </c>
      <c r="G26" s="3" t="n">
        <v>4</v>
      </c>
      <c r="H26" s="3" t="n">
        <v>350</v>
      </c>
      <c r="I26" s="3" t="n">
        <v>17.5</v>
      </c>
      <c r="J26" s="3"/>
      <c r="K26" s="4" t="n">
        <v>3.7</v>
      </c>
      <c r="L26" s="4" t="n">
        <v>3.7</v>
      </c>
      <c r="M26" s="3" t="s">
        <v>28</v>
      </c>
      <c r="N26" s="5" t="n">
        <f aca="false">IF(AND(K26="",L26=""),"",AVERAGE(K26:L26))</f>
        <v>3.7</v>
      </c>
      <c r="O26" s="3"/>
      <c r="P26" s="6" t="n">
        <f aca="false">IF(OR(N26="",IF(E26="Diesel",I26,J26)=""),"",ROUND(IF(E26="Diesel",I26,J26)/N26*100,0))</f>
        <v>473</v>
      </c>
      <c r="Q26" s="3" t="s">
        <v>29</v>
      </c>
      <c r="R26" s="3"/>
      <c r="S26" s="3"/>
      <c r="T26" s="3"/>
      <c r="U26" s="9" t="s">
        <v>65</v>
      </c>
      <c r="V26" s="7" t="s">
        <v>109</v>
      </c>
      <c r="W26" s="3" t="s">
        <v>113</v>
      </c>
    </row>
    <row r="27" customFormat="false" ht="15" hidden="false" customHeight="true" outlineLevel="0" collapsed="false">
      <c r="A27" s="3" t="s">
        <v>23</v>
      </c>
      <c r="B27" s="3" t="s">
        <v>126</v>
      </c>
      <c r="C27" s="3" t="s">
        <v>125</v>
      </c>
      <c r="D27" s="3" t="s">
        <v>121</v>
      </c>
      <c r="E27" s="3" t="s">
        <v>27</v>
      </c>
      <c r="F27" s="3" t="n">
        <v>442</v>
      </c>
      <c r="G27" s="3" t="n">
        <v>4</v>
      </c>
      <c r="H27" s="3" t="n">
        <v>350</v>
      </c>
      <c r="I27" s="3" t="n">
        <v>17.5</v>
      </c>
      <c r="J27" s="3"/>
      <c r="K27" s="4" t="n">
        <v>2.9</v>
      </c>
      <c r="L27" s="4" t="n">
        <v>2.9</v>
      </c>
      <c r="M27" s="3" t="s">
        <v>28</v>
      </c>
      <c r="N27" s="5" t="n">
        <f aca="false">IF(AND(K27="",L27=""),"",AVERAGE(K27:L27))</f>
        <v>2.9</v>
      </c>
      <c r="O27" s="3"/>
      <c r="P27" s="6" t="n">
        <f aca="false">IF(OR(N27="",IF(E27="Diesel",I27,J27)=""),"",ROUND(IF(E27="Diesel",I27,J27)/N27*100,0))</f>
        <v>603</v>
      </c>
      <c r="Q27" s="3" t="s">
        <v>29</v>
      </c>
      <c r="R27" s="3"/>
      <c r="S27" s="3"/>
      <c r="T27" s="3"/>
      <c r="U27" s="9" t="s">
        <v>65</v>
      </c>
      <c r="V27" s="7" t="s">
        <v>109</v>
      </c>
      <c r="W27" s="3" t="s">
        <v>113</v>
      </c>
    </row>
    <row r="28" customFormat="false" ht="15" hidden="false" customHeight="true" outlineLevel="0" collapsed="false">
      <c r="A28" s="3" t="s">
        <v>23</v>
      </c>
      <c r="B28" s="3" t="s">
        <v>127</v>
      </c>
      <c r="C28" s="3" t="s">
        <v>128</v>
      </c>
      <c r="D28" s="3" t="s">
        <v>108</v>
      </c>
      <c r="E28" s="3" t="s">
        <v>27</v>
      </c>
      <c r="F28" s="3" t="n">
        <v>505</v>
      </c>
      <c r="G28" s="3" t="n">
        <v>4</v>
      </c>
      <c r="H28" s="3" t="n">
        <v>350</v>
      </c>
      <c r="I28" s="3" t="n">
        <v>17.5</v>
      </c>
      <c r="J28" s="3"/>
      <c r="K28" s="4" t="n">
        <v>3.57</v>
      </c>
      <c r="L28" s="4" t="n">
        <v>3.57</v>
      </c>
      <c r="M28" s="3" t="s">
        <v>28</v>
      </c>
      <c r="N28" s="5" t="n">
        <f aca="false">IF(AND(K28="",L28=""),"",AVERAGE(K28:L28))</f>
        <v>3.57</v>
      </c>
      <c r="O28" s="3"/>
      <c r="P28" s="6" t="n">
        <f aca="false">IF(OR(N28="",IF(E28="Diesel",I28,J28)=""),"",ROUND(IF(E28="Diesel",I28,J28)/N28*100,0))</f>
        <v>490</v>
      </c>
      <c r="Q28" s="3" t="s">
        <v>29</v>
      </c>
      <c r="R28" s="3"/>
      <c r="S28" s="3"/>
      <c r="T28" s="3"/>
      <c r="U28" s="9" t="s">
        <v>65</v>
      </c>
      <c r="V28" s="7" t="s">
        <v>109</v>
      </c>
      <c r="W28" s="3" t="s">
        <v>113</v>
      </c>
    </row>
    <row r="29" customFormat="false" ht="15" hidden="false" customHeight="true" outlineLevel="0" collapsed="false">
      <c r="A29" s="3" t="s">
        <v>23</v>
      </c>
      <c r="B29" s="3" t="s">
        <v>129</v>
      </c>
      <c r="C29" s="3" t="s">
        <v>128</v>
      </c>
      <c r="D29" s="3" t="s">
        <v>121</v>
      </c>
      <c r="E29" s="3" t="s">
        <v>27</v>
      </c>
      <c r="F29" s="3" t="n">
        <v>480</v>
      </c>
      <c r="G29" s="3" t="n">
        <v>4</v>
      </c>
      <c r="H29" s="3" t="n">
        <v>350</v>
      </c>
      <c r="I29" s="3" t="n">
        <v>17.5</v>
      </c>
      <c r="J29" s="3"/>
      <c r="K29" s="4" t="n">
        <v>2.5</v>
      </c>
      <c r="L29" s="4" t="n">
        <v>2.5</v>
      </c>
      <c r="M29" s="3" t="s">
        <v>28</v>
      </c>
      <c r="N29" s="5" t="n">
        <f aca="false">IF(AND(K29="",L29=""),"",AVERAGE(K29:L29))</f>
        <v>2.5</v>
      </c>
      <c r="O29" s="3"/>
      <c r="P29" s="6" t="n">
        <f aca="false">IF(OR(N29="",IF(E29="Diesel",I29,J29)=""),"",ROUND(IF(E29="Diesel",I29,J29)/N29*100,0))</f>
        <v>700</v>
      </c>
      <c r="Q29" s="3" t="s">
        <v>29</v>
      </c>
      <c r="R29" s="3"/>
      <c r="S29" s="3"/>
      <c r="T29" s="3"/>
      <c r="U29" s="9" t="s">
        <v>65</v>
      </c>
      <c r="V29" s="7" t="s">
        <v>109</v>
      </c>
      <c r="W29" s="3" t="s">
        <v>113</v>
      </c>
    </row>
    <row r="30" customFormat="false" ht="15" hidden="false" customHeight="true" outlineLevel="0" collapsed="false">
      <c r="A30" s="3" t="s">
        <v>23</v>
      </c>
      <c r="B30" s="3" t="s">
        <v>130</v>
      </c>
      <c r="C30" s="3" t="s">
        <v>131</v>
      </c>
      <c r="D30" s="3" t="s">
        <v>108</v>
      </c>
      <c r="E30" s="3" t="s">
        <v>27</v>
      </c>
      <c r="F30" s="3" t="n">
        <v>505</v>
      </c>
      <c r="G30" s="3" t="n">
        <v>4</v>
      </c>
      <c r="H30" s="3" t="n">
        <v>350</v>
      </c>
      <c r="I30" s="3" t="n">
        <v>17.5</v>
      </c>
      <c r="J30" s="3"/>
      <c r="K30" s="4" t="n">
        <v>3.57</v>
      </c>
      <c r="L30" s="4" t="n">
        <v>3.57</v>
      </c>
      <c r="M30" s="3" t="s">
        <v>28</v>
      </c>
      <c r="N30" s="5" t="n">
        <f aca="false">IF(AND(K30="",L30=""),"",AVERAGE(K30:L30))</f>
        <v>3.57</v>
      </c>
      <c r="O30" s="3"/>
      <c r="P30" s="6" t="n">
        <f aca="false">IF(OR(N30="",IF(E30="Diesel",I30,J30)=""),"",ROUND(IF(E30="Diesel",I30,J30)/N30*100,0))</f>
        <v>490</v>
      </c>
      <c r="Q30" s="3" t="s">
        <v>29</v>
      </c>
      <c r="R30" s="3"/>
      <c r="S30" s="3"/>
      <c r="T30" s="3"/>
      <c r="U30" s="9" t="s">
        <v>65</v>
      </c>
      <c r="V30" s="7" t="s">
        <v>109</v>
      </c>
      <c r="W30" s="3" t="s">
        <v>113</v>
      </c>
    </row>
    <row r="31" customFormat="false" ht="15" hidden="false" customHeight="true" outlineLevel="0" collapsed="false">
      <c r="A31" s="3" t="s">
        <v>23</v>
      </c>
      <c r="B31" s="3" t="s">
        <v>132</v>
      </c>
      <c r="C31" s="3" t="s">
        <v>70</v>
      </c>
      <c r="D31" s="3" t="s">
        <v>108</v>
      </c>
      <c r="E31" s="3" t="s">
        <v>27</v>
      </c>
      <c r="F31" s="3" t="n">
        <v>505</v>
      </c>
      <c r="G31" s="3" t="n">
        <v>6</v>
      </c>
      <c r="H31" s="3" t="n">
        <v>350</v>
      </c>
      <c r="I31" s="3" t="n">
        <v>17.5</v>
      </c>
      <c r="J31" s="3"/>
      <c r="K31" s="4" t="n">
        <v>3.7</v>
      </c>
      <c r="L31" s="4" t="n">
        <v>3.7</v>
      </c>
      <c r="M31" s="3" t="s">
        <v>28</v>
      </c>
      <c r="N31" s="5" t="n">
        <f aca="false">IF(AND(K31="",L31=""),"",AVERAGE(K31:L31))</f>
        <v>3.7</v>
      </c>
      <c r="O31" s="3"/>
      <c r="P31" s="6" t="n">
        <f aca="false">IF(OR(N31="",IF(E31="Diesel",I31,J31)=""),"",ROUND(IF(E31="Diesel",I31,J31)/N31*100,0))</f>
        <v>473</v>
      </c>
      <c r="Q31" s="3" t="s">
        <v>29</v>
      </c>
      <c r="R31" s="3"/>
      <c r="S31" s="3"/>
      <c r="T31" s="3"/>
      <c r="U31" s="9" t="s">
        <v>65</v>
      </c>
      <c r="V31" s="7" t="s">
        <v>109</v>
      </c>
      <c r="W31" s="3" t="s">
        <v>113</v>
      </c>
    </row>
    <row r="32" customFormat="false" ht="15" hidden="false" customHeight="true" outlineLevel="0" collapsed="false">
      <c r="A32" s="3" t="s">
        <v>23</v>
      </c>
      <c r="B32" s="3" t="s">
        <v>133</v>
      </c>
      <c r="C32" s="3" t="s">
        <v>70</v>
      </c>
      <c r="D32" s="3" t="s">
        <v>37</v>
      </c>
      <c r="E32" s="3" t="s">
        <v>27</v>
      </c>
      <c r="F32" s="3" t="n">
        <v>478</v>
      </c>
      <c r="G32" s="3" t="n">
        <v>6</v>
      </c>
      <c r="H32" s="3" t="n">
        <v>350</v>
      </c>
      <c r="I32" s="3" t="n">
        <v>17.5</v>
      </c>
      <c r="J32" s="3"/>
      <c r="K32" s="4" t="n">
        <v>3</v>
      </c>
      <c r="L32" s="4" t="n">
        <v>3</v>
      </c>
      <c r="M32" s="3" t="s">
        <v>28</v>
      </c>
      <c r="N32" s="5" t="n">
        <f aca="false">IF(AND(K32="",L32=""),"",AVERAGE(K32:L32))</f>
        <v>3</v>
      </c>
      <c r="O32" s="3"/>
      <c r="P32" s="6" t="n">
        <f aca="false">IF(OR(N32="",IF(E32="Diesel",I32,J32)=""),"",ROUND(IF(E32="Diesel",I32,J32)/N32*100,0))</f>
        <v>583</v>
      </c>
      <c r="Q32" s="3" t="s">
        <v>29</v>
      </c>
      <c r="R32" s="3"/>
      <c r="S32" s="3"/>
      <c r="T32" s="3"/>
      <c r="U32" s="9" t="s">
        <v>65</v>
      </c>
      <c r="V32" s="7" t="s">
        <v>109</v>
      </c>
      <c r="W32" s="3" t="s">
        <v>113</v>
      </c>
    </row>
    <row r="33" customFormat="false" ht="15" hidden="false" customHeight="true" outlineLevel="0" collapsed="false">
      <c r="A33" s="3" t="s">
        <v>23</v>
      </c>
      <c r="B33" s="3" t="s">
        <v>134</v>
      </c>
      <c r="C33" s="3" t="s">
        <v>135</v>
      </c>
      <c r="D33" s="3" t="s">
        <v>136</v>
      </c>
      <c r="E33" s="3" t="s">
        <v>27</v>
      </c>
      <c r="F33" s="3" t="n">
        <v>505</v>
      </c>
      <c r="G33" s="3" t="n">
        <v>4</v>
      </c>
      <c r="H33" s="3" t="n">
        <v>350</v>
      </c>
      <c r="I33" s="3" t="n">
        <v>16</v>
      </c>
      <c r="J33" s="3"/>
      <c r="K33" s="4" t="n">
        <v>3.5</v>
      </c>
      <c r="L33" s="4" t="n">
        <v>3.5</v>
      </c>
      <c r="M33" s="3" t="s">
        <v>28</v>
      </c>
      <c r="N33" s="5" t="n">
        <f aca="false">IF(AND(K33="",L33=""),"",AVERAGE(K33:L33))</f>
        <v>3.5</v>
      </c>
      <c r="O33" s="3"/>
      <c r="P33" s="6" t="n">
        <f aca="false">IF(OR(N33="",IF(E33="Diesel",I33,J33)=""),"",ROUND(IF(E33="Diesel",I33,J33)/N33*100,0))</f>
        <v>457</v>
      </c>
      <c r="Q33" s="3" t="s">
        <v>29</v>
      </c>
      <c r="R33" s="3"/>
      <c r="S33" s="3"/>
      <c r="T33" s="3"/>
      <c r="U33" s="9" t="s">
        <v>65</v>
      </c>
      <c r="V33" s="7" t="s">
        <v>109</v>
      </c>
      <c r="W33" s="3" t="s">
        <v>113</v>
      </c>
    </row>
    <row r="34" customFormat="false" ht="15" hidden="false" customHeight="true" outlineLevel="0" collapsed="false">
      <c r="A34" s="3" t="s">
        <v>23</v>
      </c>
      <c r="B34" s="3" t="s">
        <v>137</v>
      </c>
      <c r="C34" s="3" t="s">
        <v>138</v>
      </c>
      <c r="D34" s="3" t="s">
        <v>108</v>
      </c>
      <c r="E34" s="3" t="s">
        <v>27</v>
      </c>
      <c r="F34" s="3" t="n">
        <v>505</v>
      </c>
      <c r="G34" s="3" t="n">
        <v>4</v>
      </c>
      <c r="H34" s="3" t="n">
        <v>390</v>
      </c>
      <c r="I34" s="3" t="n">
        <v>17.5</v>
      </c>
      <c r="J34" s="3"/>
      <c r="K34" s="4" t="n">
        <v>3.9</v>
      </c>
      <c r="L34" s="4" t="n">
        <v>3.9</v>
      </c>
      <c r="M34" s="3" t="s">
        <v>28</v>
      </c>
      <c r="N34" s="5" t="n">
        <f aca="false">IF(AND(K34="",L34=""),"",AVERAGE(K34:L34))</f>
        <v>3.9</v>
      </c>
      <c r="O34" s="3"/>
      <c r="P34" s="6" t="n">
        <f aca="false">IF(OR(N34="",IF(E34="Diesel",I34,J34)=""),"",ROUND(IF(E34="Diesel",I34,J34)/N34*100,0))</f>
        <v>449</v>
      </c>
      <c r="Q34" s="3" t="s">
        <v>29</v>
      </c>
      <c r="R34" s="3"/>
      <c r="S34" s="3"/>
      <c r="T34" s="3"/>
      <c r="U34" s="9" t="s">
        <v>65</v>
      </c>
      <c r="V34" s="7" t="s">
        <v>109</v>
      </c>
      <c r="W34" s="3" t="s">
        <v>113</v>
      </c>
    </row>
    <row r="35" customFormat="false" ht="15" hidden="false" customHeight="true" outlineLevel="0" collapsed="false">
      <c r="A35" s="3" t="s">
        <v>139</v>
      </c>
      <c r="B35" s="3" t="s">
        <v>140</v>
      </c>
      <c r="C35" s="3" t="s">
        <v>141</v>
      </c>
      <c r="D35" s="3" t="s">
        <v>41</v>
      </c>
      <c r="E35" s="3" t="s">
        <v>41</v>
      </c>
      <c r="F35" s="3"/>
      <c r="G35" s="3" t="n">
        <v>3.7</v>
      </c>
      <c r="H35" s="8"/>
      <c r="I35" s="3"/>
      <c r="J35" s="3" t="n">
        <v>6.1</v>
      </c>
      <c r="K35" s="4" t="n">
        <v>6.3</v>
      </c>
      <c r="L35" s="4" t="n">
        <v>6.3</v>
      </c>
      <c r="M35" s="3" t="s">
        <v>42</v>
      </c>
      <c r="N35" s="5" t="n">
        <f aca="false">IF(AND(K35="",L35=""),"",AVERAGE(K35:L35))</f>
        <v>6.3</v>
      </c>
      <c r="O35" s="3" t="n">
        <v>120</v>
      </c>
      <c r="P35" s="6" t="n">
        <f aca="false">IF(OR(N35="",IF(E35="Diesel",I35,J35)=""),"",ROUND(IF(E35="Diesel",I35,J35)/N35*100,0))</f>
        <v>97</v>
      </c>
      <c r="Q35" s="3" t="s">
        <v>142</v>
      </c>
      <c r="R35" s="3" t="s">
        <v>143</v>
      </c>
      <c r="S35" s="3" t="n">
        <v>2.3</v>
      </c>
      <c r="T35" s="3" t="s">
        <v>64</v>
      </c>
      <c r="U35" s="9" t="s">
        <v>65</v>
      </c>
      <c r="V35" s="7" t="s">
        <v>144</v>
      </c>
      <c r="W35" s="3" t="s">
        <v>145</v>
      </c>
    </row>
    <row r="36" customFormat="false" ht="15" hidden="false" customHeight="true" outlineLevel="0" collapsed="false">
      <c r="A36" s="3" t="s">
        <v>146</v>
      </c>
      <c r="B36" s="3" t="s">
        <v>147</v>
      </c>
      <c r="C36" s="3" t="s">
        <v>148</v>
      </c>
      <c r="D36" s="3" t="s">
        <v>149</v>
      </c>
      <c r="E36" s="3" t="s">
        <v>27</v>
      </c>
      <c r="F36" s="3" t="n">
        <v>480</v>
      </c>
      <c r="G36" s="3" t="n">
        <v>6</v>
      </c>
      <c r="H36" s="3" t="n">
        <v>425</v>
      </c>
      <c r="I36" s="3" t="n">
        <v>19</v>
      </c>
      <c r="J36" s="3"/>
      <c r="K36" s="4" t="n">
        <v>3.1</v>
      </c>
      <c r="L36" s="4" t="n">
        <v>3.1</v>
      </c>
      <c r="M36" s="3" t="s">
        <v>28</v>
      </c>
      <c r="N36" s="5" t="n">
        <f aca="false">IF(AND(K36="",L36=""),"",AVERAGE(K36:L36))</f>
        <v>3.1</v>
      </c>
      <c r="O36" s="3"/>
      <c r="P36" s="6" t="n">
        <f aca="false">IF(OR(N36="",IF(E36="Diesel",I36,J36)=""),"",ROUND(IF(E36="Diesel",I36,J36)/N36*100,0))</f>
        <v>613</v>
      </c>
      <c r="Q36" s="3" t="s">
        <v>29</v>
      </c>
      <c r="R36" s="3"/>
      <c r="S36" s="3"/>
      <c r="T36" s="3"/>
      <c r="U36" s="9" t="s">
        <v>65</v>
      </c>
      <c r="V36" s="7" t="s">
        <v>150</v>
      </c>
      <c r="W36" s="3" t="s">
        <v>151</v>
      </c>
    </row>
    <row r="37" customFormat="false" ht="15" hidden="false" customHeight="true" outlineLevel="0" collapsed="false">
      <c r="A37" s="3" t="s">
        <v>54</v>
      </c>
      <c r="B37" s="3" t="s">
        <v>152</v>
      </c>
      <c r="C37" s="3" t="s">
        <v>153</v>
      </c>
      <c r="D37" s="3" t="s">
        <v>154</v>
      </c>
      <c r="E37" s="3" t="s">
        <v>27</v>
      </c>
      <c r="F37" s="3" t="n">
        <v>479</v>
      </c>
      <c r="G37" s="3" t="n">
        <v>4</v>
      </c>
      <c r="H37" s="3" t="n">
        <v>425</v>
      </c>
      <c r="I37" s="3" t="n">
        <v>16</v>
      </c>
      <c r="J37" s="3"/>
      <c r="K37" s="4" t="n">
        <v>3.1</v>
      </c>
      <c r="L37" s="4" t="n">
        <v>3.1</v>
      </c>
      <c r="M37" s="3" t="s">
        <v>28</v>
      </c>
      <c r="N37" s="5" t="n">
        <f aca="false">IF(AND(K37="",L37=""),"",AVERAGE(K37:L37))</f>
        <v>3.1</v>
      </c>
      <c r="O37" s="3"/>
      <c r="P37" s="6" t="n">
        <f aca="false">IF(OR(N37="",IF(E37="Diesel",I37,J37)=""),"",ROUND(IF(E37="Diesel",I37,J37)/N37*100,0))</f>
        <v>516</v>
      </c>
      <c r="Q37" s="3" t="s">
        <v>29</v>
      </c>
      <c r="R37" s="3"/>
      <c r="S37" s="3"/>
      <c r="T37" s="3"/>
      <c r="U37" s="9" t="s">
        <v>65</v>
      </c>
      <c r="V37" s="7" t="s">
        <v>155</v>
      </c>
      <c r="W37" s="3" t="s">
        <v>156</v>
      </c>
    </row>
    <row r="38" customFormat="false" ht="15" hidden="false" customHeight="true" outlineLevel="0" collapsed="false">
      <c r="A38" s="3" t="s">
        <v>54</v>
      </c>
      <c r="B38" s="3" t="s">
        <v>157</v>
      </c>
      <c r="C38" s="3" t="s">
        <v>56</v>
      </c>
      <c r="D38" s="3" t="s">
        <v>158</v>
      </c>
      <c r="E38" s="3" t="s">
        <v>27</v>
      </c>
      <c r="F38" s="3" t="n">
        <v>479</v>
      </c>
      <c r="G38" s="3" t="n">
        <v>6</v>
      </c>
      <c r="H38" s="3" t="n">
        <v>440</v>
      </c>
      <c r="I38" s="3" t="n">
        <v>16</v>
      </c>
      <c r="J38" s="3"/>
      <c r="K38" s="4" t="n">
        <v>3.1</v>
      </c>
      <c r="L38" s="4" t="n">
        <v>3.1</v>
      </c>
      <c r="M38" s="3" t="s">
        <v>28</v>
      </c>
      <c r="N38" s="5" t="n">
        <f aca="false">IF(AND(K38="",L38=""),"",AVERAGE(K38:L38))</f>
        <v>3.1</v>
      </c>
      <c r="O38" s="3"/>
      <c r="P38" s="6" t="n">
        <f aca="false">IF(OR(N38="",IF(E38="Diesel",I38,J38)=""),"",ROUND(IF(E38="Diesel",I38,J38)/N38*100,0))</f>
        <v>516</v>
      </c>
      <c r="Q38" s="3" t="s">
        <v>29</v>
      </c>
      <c r="R38" s="3"/>
      <c r="S38" s="3"/>
      <c r="T38" s="3"/>
      <c r="U38" s="9" t="s">
        <v>65</v>
      </c>
      <c r="V38" s="7" t="s">
        <v>155</v>
      </c>
      <c r="W38" s="3" t="s">
        <v>159</v>
      </c>
    </row>
    <row r="39" customFormat="false" ht="15" hidden="false" customHeight="true" outlineLevel="0" collapsed="false">
      <c r="A39" s="3" t="s">
        <v>160</v>
      </c>
      <c r="B39" s="3" t="s">
        <v>161</v>
      </c>
      <c r="C39" s="3" t="s">
        <v>102</v>
      </c>
      <c r="D39" s="3" t="s">
        <v>162</v>
      </c>
      <c r="E39" s="3" t="s">
        <v>27</v>
      </c>
      <c r="F39" s="3" t="n">
        <v>480</v>
      </c>
      <c r="G39" s="3" t="n">
        <v>6</v>
      </c>
      <c r="H39" s="3" t="n">
        <v>450</v>
      </c>
      <c r="I39" s="3" t="n">
        <v>19</v>
      </c>
      <c r="J39" s="3"/>
      <c r="K39" s="4" t="n">
        <v>3</v>
      </c>
      <c r="L39" s="4" t="n">
        <v>3</v>
      </c>
      <c r="M39" s="3" t="s">
        <v>28</v>
      </c>
      <c r="N39" s="5" t="n">
        <f aca="false">IF(AND(K39="",L39=""),"",AVERAGE(K39:L39))</f>
        <v>3</v>
      </c>
      <c r="O39" s="3"/>
      <c r="P39" s="6" t="n">
        <f aca="false">IF(OR(N39="",IF(E39="Diesel",I39,J39)=""),"",ROUND(IF(E39="Diesel",I39,J39)/N39*100,0))</f>
        <v>633</v>
      </c>
      <c r="Q39" s="3" t="s">
        <v>29</v>
      </c>
      <c r="R39" s="3"/>
      <c r="S39" s="3"/>
      <c r="T39" s="3"/>
      <c r="U39" s="9" t="s">
        <v>65</v>
      </c>
      <c r="V39" s="7" t="s">
        <v>163</v>
      </c>
      <c r="W39" s="3" t="s">
        <v>164</v>
      </c>
    </row>
    <row r="40" customFormat="false" ht="15" hidden="false" customHeight="true" outlineLevel="0" collapsed="false">
      <c r="A40" s="3" t="s">
        <v>165</v>
      </c>
      <c r="B40" s="3" t="s">
        <v>166</v>
      </c>
      <c r="C40" s="3" t="s">
        <v>95</v>
      </c>
      <c r="D40" s="3" t="s">
        <v>71</v>
      </c>
      <c r="E40" s="3" t="s">
        <v>41</v>
      </c>
      <c r="F40" s="3"/>
      <c r="G40" s="3" t="n">
        <v>6</v>
      </c>
      <c r="H40" s="3" t="n">
        <v>471</v>
      </c>
      <c r="I40" s="3"/>
      <c r="J40" s="3" t="n">
        <v>5.5</v>
      </c>
      <c r="K40" s="4" t="n">
        <v>7.6</v>
      </c>
      <c r="L40" s="4" t="n">
        <v>7.6</v>
      </c>
      <c r="M40" s="3" t="s">
        <v>42</v>
      </c>
      <c r="N40" s="5" t="n">
        <f aca="false">IF(AND(K40="",L40=""),"",AVERAGE(K40:L40))</f>
        <v>7.6</v>
      </c>
      <c r="O40" s="3" t="n">
        <v>75</v>
      </c>
      <c r="P40" s="6" t="n">
        <f aca="false">IF(OR(N40="",IF(E40="Diesel",I40,J40)=""),"",ROUND(IF(E40="Diesel",I40,J40)/N40*100,0))</f>
        <v>72</v>
      </c>
      <c r="Q40" s="3" t="s">
        <v>78</v>
      </c>
      <c r="R40" s="3" t="s">
        <v>143</v>
      </c>
      <c r="S40" s="3" t="n">
        <v>2.3</v>
      </c>
      <c r="T40" s="3" t="s">
        <v>73</v>
      </c>
      <c r="U40" s="9" t="s">
        <v>65</v>
      </c>
      <c r="V40" s="7" t="s">
        <v>167</v>
      </c>
      <c r="W40" s="3" t="s">
        <v>168</v>
      </c>
    </row>
  </sheetData>
  <autoFilter ref="A1:W40"/>
  <dataValidations count="2">
    <dataValidation allowBlank="false" errorStyle="stop" operator="between" showDropDown="false" showErrorMessage="false" showInputMessage="false" sqref="U2:U500" type="list">
      <formula1>"Vérifié,À vérifier,À compléter"</formula1>
      <formula2>0</formula2>
    </dataValidation>
    <dataValidation allowBlank="false" errorStyle="stop" operator="between" showDropDown="false" showErrorMessage="false" showInputMessage="false" sqref="E2:E500" type="list">
      <formula1>"Diesel,Essence,Électrique"</formula1>
      <formula2>0</formula2>
    </dataValidation>
  </dataValidations>
  <hyperlinks>
    <hyperlink ref="V2" r:id="rId2" display="https://www.automoli.com/fr/vehicles/ligier/js50/js50-i-long-10622/"/>
    <hyperlink ref="V3" r:id="rId3" display="https://www.automoli.com/fr/vehicles/ligier/js50/js50-i-long-10622/"/>
    <hyperlink ref="V4" r:id="rId4" display="https://www.automoli.com/fr/vehicles/ligier/js50/js50-i-facelift-2017-10620/"/>
    <hyperlink ref="V5" r:id="rId5" display="https://www.automoli.com/fr/vehicles/ligier/js50/js50-i-facelift-2017-10620/"/>
    <hyperlink ref="V6" r:id="rId6" display="https://www.automoli.com/fr/vehicles/ligier/js50/js50-i-facelift-2017-10620/"/>
    <hyperlink ref="V7" r:id="rId7" display="https://www.ligier.fr/wp-content/uploads/2023/03/FICHE-EQUIPEMENT-TECHNIQUE-MYLI.pdf"/>
    <hyperlink ref="V8" r:id="rId8" display="https://www.ligier.fr/wp-content/uploads/2023/03/FICHE-EQUIPEMENT-TECHNIQUE-MYLI.pdf"/>
    <hyperlink ref="V9" r:id="rId9" display="https://www.ligier.fr/wp-content/uploads/2023/03/FICHE-EQUIPEMENT-TECHNIQUE-MYLI.pdf"/>
    <hyperlink ref="V10" r:id="rId10" display="https://www.auto-data.net/fr/aixam-sansation-coupe-0.5d-8hp-automatic-35914"/>
    <hyperlink ref="V11" r:id="rId11" display="https://www.largus.fr/actualite-automobile/aixam-se-lance-dans-l-electrique-2446385.html"/>
    <hyperlink ref="V12" r:id="rId12" display="https://autotijd.be/fr/fiches-techniques/citroen/ami/55-kwh-8-hp-3575"/>
    <hyperlink ref="V13" r:id="rId13" display="https://autotijd.be/fr/fiches-techniques/citroen/ami/54-kwh-8-hp-4421"/>
    <hyperlink ref="V14" r:id="rId14" display="https://autotijd.be/fr/fiches-techniques/fiat/topolino/54-kwh-8-hp-4423"/>
    <hyperlink ref="V15" r:id="rId15" display="https://www.automobile-propre.com/voitures/mobilize-duo/fiche-technique"/>
    <hyperlink ref="V16" r:id="rId16" display="https://www.autocentrum.pl/chatenet/ch46/silnik-diesla-0.48-lombardini-kohler-hdi-6km-od-2021/"/>
    <hyperlink ref="V17" r:id="rId17" display="https://www.auto-swiat.pl/katalog-samochodow/microcar-mgo-iv-mgo-6-x-dci-cvt-diesel-8-km-6-kw/vng0wmq"/>
    <hyperlink ref="V18" r:id="rId18" display="https://nessycar.fr/s-1/index/marques-ligier"/>
    <hyperlink ref="V19" r:id="rId19" display="https://nessycar.fr/s-1/index/marques-ligier"/>
    <hyperlink ref="V20" r:id="rId20" display="https://nessycar.fr/s-1/index/marques-ligier"/>
    <hyperlink ref="V21" r:id="rId21" display="https://nessycar.fr/s-1/index/marques-ligier"/>
    <hyperlink ref="V22" r:id="rId22" display="https://nessycar.fr/s-1/index/marques-ligier"/>
    <hyperlink ref="V23" r:id="rId23" display="https://nessycar.fr/s-1/index/marques-ligier"/>
    <hyperlink ref="V24" r:id="rId24" display="https://nessycar.fr/s-1/index/marques-ligier"/>
    <hyperlink ref="V25" r:id="rId25" display="https://nessycar.fr/s-1/index/marques-ligier"/>
    <hyperlink ref="V26" r:id="rId26" display="https://nessycar.fr/s-1/index/marques-ligier"/>
    <hyperlink ref="V27" r:id="rId27" display="https://nessycar.fr/s-1/index/marques-ligier"/>
    <hyperlink ref="V28" r:id="rId28" display="https://nessycar.fr/s-1/index/marques-ligier"/>
    <hyperlink ref="V29" r:id="rId29" display="https://nessycar.fr/s-1/index/marques-ligier"/>
    <hyperlink ref="V30" r:id="rId30" display="https://nessycar.fr/s-1/index/marques-ligier"/>
    <hyperlink ref="V31" r:id="rId31" display="https://nessycar.fr/s-1/index/marques-ligier"/>
    <hyperlink ref="V32" r:id="rId32" display="https://nessycar.fr/s-1/index/marques-ligier"/>
    <hyperlink ref="V33" r:id="rId33" display="https://nessycar.fr/s-1/index/marques-ligier"/>
    <hyperlink ref="V34" r:id="rId34" display="https://nessycar.fr/s-1/index/marques-ligier"/>
    <hyperlink ref="V35" r:id="rId35" display="https://www.automobile-propre.com/voitures/renault-twizy/fiche-technique"/>
    <hyperlink ref="V36" r:id="rId36" display="https://www.bellier.fr/"/>
    <hyperlink ref="V37" r:id="rId37" display="https://www.aixam.com/"/>
    <hyperlink ref="V38" r:id="rId38" display="https://www.aixam.com/"/>
    <hyperlink ref="V39" r:id="rId39" display="https://www.casalini.it/"/>
    <hyperlink ref="V40" r:id="rId40" display="https://www.opel.f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  <legacy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0"/>
  </cols>
  <sheetData>
    <row r="1" customFormat="false" ht="17.25" hidden="false" customHeight="true" outlineLevel="0" collapsed="false">
      <c r="A1" s="10" t="s">
        <v>169</v>
      </c>
      <c r="B1" s="11"/>
    </row>
    <row r="2" customFormat="false" ht="15" hidden="false" customHeight="true" outlineLevel="0" collapsed="false">
      <c r="A2" s="12"/>
      <c r="B2" s="11"/>
    </row>
    <row r="3" customFormat="false" ht="15" hidden="false" customHeight="true" outlineLevel="0" collapsed="false">
      <c r="A3" s="13" t="s">
        <v>170</v>
      </c>
      <c r="B3" s="11" t="s">
        <v>171</v>
      </c>
    </row>
    <row r="4" customFormat="false" ht="15" hidden="false" customHeight="true" outlineLevel="0" collapsed="false">
      <c r="A4" s="14" t="s">
        <v>172</v>
      </c>
      <c r="B4" s="11" t="s">
        <v>173</v>
      </c>
    </row>
    <row r="5" customFormat="false" ht="15" hidden="false" customHeight="true" outlineLevel="0" collapsed="false">
      <c r="A5" s="13" t="s">
        <v>174</v>
      </c>
      <c r="B5" s="11" t="s">
        <v>175</v>
      </c>
    </row>
    <row r="6" customFormat="false" ht="15" hidden="false" customHeight="true" outlineLevel="0" collapsed="false">
      <c r="A6" s="15" t="s">
        <v>176</v>
      </c>
      <c r="B6" s="11" t="s">
        <v>177</v>
      </c>
    </row>
    <row r="7" customFormat="false" ht="15" hidden="false" customHeight="true" outlineLevel="0" collapsed="false">
      <c r="A7" s="16" t="s">
        <v>178</v>
      </c>
      <c r="B7" s="11" t="s">
        <v>179</v>
      </c>
    </row>
    <row r="8" customFormat="false" ht="15" hidden="false" customHeight="true" outlineLevel="0" collapsed="false">
      <c r="A8" s="13" t="s">
        <v>180</v>
      </c>
      <c r="B8" s="11" t="s">
        <v>181</v>
      </c>
    </row>
    <row r="9" customFormat="false" ht="15" hidden="false" customHeight="true" outlineLevel="0" collapsed="false">
      <c r="A9" s="13" t="s">
        <v>182</v>
      </c>
      <c r="B9" s="11" t="s">
        <v>183</v>
      </c>
    </row>
    <row r="10" customFormat="false" ht="15" hidden="false" customHeight="true" outlineLevel="0" collapsed="false">
      <c r="A10" s="13" t="s">
        <v>184</v>
      </c>
      <c r="B10" s="11" t="s">
        <v>185</v>
      </c>
    </row>
    <row r="11" customFormat="false" ht="15" hidden="false" customHeight="true" outlineLevel="0" collapsed="false">
      <c r="A11" s="12"/>
      <c r="B11" s="11"/>
    </row>
    <row r="12" customFormat="false" ht="26.25" hidden="false" customHeight="true" outlineLevel="0" collapsed="false">
      <c r="A12" s="13" t="s">
        <v>186</v>
      </c>
      <c r="B12" s="11" t="s">
        <v>187</v>
      </c>
    </row>
    <row r="13" customFormat="false" ht="15" hidden="false" customHeight="true" outlineLevel="0" collapsed="false">
      <c r="A13" s="13" t="s">
        <v>188</v>
      </c>
      <c r="B13" s="11" t="s">
        <v>189</v>
      </c>
    </row>
    <row r="14" customFormat="false" ht="15" hidden="false" customHeight="true" outlineLevel="0" collapsed="false">
      <c r="A14" s="13" t="s">
        <v>190</v>
      </c>
      <c r="B14" s="11" t="s">
        <v>191</v>
      </c>
    </row>
    <row r="15" customFormat="false" ht="15" hidden="false" customHeight="true" outlineLevel="0" collapsed="false">
      <c r="A15" s="12"/>
      <c r="B15" s="11"/>
    </row>
    <row r="16" customFormat="false" ht="26.25" hidden="false" customHeight="true" outlineLevel="0" collapsed="false">
      <c r="A16" s="13" t="s">
        <v>192</v>
      </c>
      <c r="B16" s="11" t="s">
        <v>193</v>
      </c>
    </row>
    <row r="17" customFormat="false" ht="15" hidden="false" customHeight="true" outlineLevel="0" collapsed="false">
      <c r="A17" s="13" t="s">
        <v>194</v>
      </c>
      <c r="B17" s="11" t="s">
        <v>195</v>
      </c>
    </row>
    <row r="19" customFormat="false" ht="15" hidden="false" customHeight="true" outlineLevel="0" collapsed="false">
      <c r="A19" s="17" t="s">
        <v>196</v>
      </c>
      <c r="B19" s="18" t="s">
        <v>197</v>
      </c>
    </row>
    <row r="21" customFormat="false" ht="15" hidden="false" customHeight="true" outlineLevel="0" collapsed="false">
      <c r="A21" s="17" t="s">
        <v>198</v>
      </c>
      <c r="B21" s="18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2026-10-10T10:37:10Z</dcterms:created>
  <dc:creator>openpyxl</dc:creator>
  <dc:description/>
  <dc:language>en-US</dc:language>
  <cp:lastModifiedBy/>
  <dcterms:modified xsi:type="dcterms:W3CDTF">2026-10-10T11:06:22Z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